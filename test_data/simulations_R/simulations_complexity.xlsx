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banfibios/Desktop/Doutorado/Project/B3_PrepDyn/GitHub/test_data/simulations_R/"/>
    </mc:Choice>
  </mc:AlternateContent>
  <xr:revisionPtr revIDLastSave="0" documentId="13_ncr:1_{25D70485-5EDC-4B4E-BF82-2FE0CA51B1FD}" xr6:coauthVersionLast="47" xr6:coauthVersionMax="47" xr10:uidLastSave="{00000000-0000-0000-0000-000000000000}"/>
  <bookViews>
    <workbookView xWindow="0" yWindow="500" windowWidth="18040" windowHeight="16260" xr2:uid="{00000000-000D-0000-FFFF-FFFF00000000}"/>
  </bookViews>
  <sheets>
    <sheet name="final" sheetId="3" r:id="rId1"/>
    <sheet name="without80t" sheetId="1" r:id="rId2"/>
    <sheet name="with80t" sheetId="2" r:id="rId3"/>
  </sheets>
  <calcPr calcId="191029"/>
</workbook>
</file>

<file path=xl/calcChain.xml><?xml version="1.0" encoding="utf-8"?>
<calcChain xmlns="http://schemas.openxmlformats.org/spreadsheetml/2006/main">
  <c r="N61" i="3" l="1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73" i="2"/>
  <c r="M67" i="1"/>
  <c r="M68" i="1"/>
  <c r="M69" i="1"/>
  <c r="M70" i="1"/>
  <c r="M71" i="1"/>
  <c r="M72" i="1"/>
  <c r="M73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11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30" i="1"/>
  <c r="L26" i="1"/>
  <c r="L27" i="1"/>
  <c r="L28" i="1"/>
  <c r="L29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11" i="1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15" i="2"/>
  <c r="N16" i="2"/>
  <c r="N17" i="2"/>
  <c r="N18" i="2"/>
  <c r="N19" i="2"/>
  <c r="N20" i="2"/>
  <c r="N14" i="2"/>
  <c r="M35" i="2"/>
  <c r="M25" i="2"/>
  <c r="M16" i="2"/>
  <c r="M17" i="2"/>
  <c r="M18" i="2"/>
  <c r="M19" i="2"/>
  <c r="M20" i="2"/>
  <c r="M21" i="2"/>
  <c r="M22" i="2"/>
  <c r="M23" i="2"/>
  <c r="M24" i="2"/>
  <c r="M26" i="2"/>
  <c r="M27" i="2"/>
  <c r="M28" i="2"/>
  <c r="M29" i="2"/>
  <c r="M30" i="2"/>
  <c r="M31" i="2"/>
  <c r="M32" i="2"/>
  <c r="M33" i="2"/>
  <c r="M34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15" i="2"/>
  <c r="M14" i="2"/>
</calcChain>
</file>

<file path=xl/sharedStrings.xml><?xml version="1.0" encoding="utf-8"?>
<sst xmlns="http://schemas.openxmlformats.org/spreadsheetml/2006/main" count="425" uniqueCount="112">
  <si>
    <t>n_partitions</t>
  </si>
  <si>
    <t>n_pound_columns</t>
  </si>
  <si>
    <t xml:space="preserve"> n_leaves</t>
  </si>
  <si>
    <t xml:space="preserve"> n_columns</t>
  </si>
  <si>
    <t xml:space="preserve"> n_nucleotides</t>
  </si>
  <si>
    <t>prepDyn_CPU_time</t>
  </si>
  <si>
    <t>prepDyn_wallClock_time</t>
  </si>
  <si>
    <t xml:space="preserve"> cost</t>
  </si>
  <si>
    <t>n_graphs</t>
  </si>
  <si>
    <t xml:space="preserve"> swap_CPU_time</t>
  </si>
  <si>
    <t>partition_method</t>
  </si>
  <si>
    <t>equal</t>
  </si>
  <si>
    <t>file_name</t>
  </si>
  <si>
    <t>3.1_t10_len100</t>
  </si>
  <si>
    <t>3.1_t10_len1000</t>
  </si>
  <si>
    <t>3.1_t10_len10000</t>
  </si>
  <si>
    <t>3.1_t20_len100</t>
  </si>
  <si>
    <t>3.1_t20_len1000</t>
  </si>
  <si>
    <t>3.1_20_len10000</t>
  </si>
  <si>
    <t>3.1_t40_len100</t>
  </si>
  <si>
    <t>3.1_t40_len1000</t>
  </si>
  <si>
    <t>3.1_t40_len10000</t>
  </si>
  <si>
    <t>3.1_t80_len100</t>
  </si>
  <si>
    <t>3.1_t80_len1000</t>
  </si>
  <si>
    <t>3.1_t80_len10000</t>
  </si>
  <si>
    <t>3.2_t10_len100</t>
  </si>
  <si>
    <t>3.2_t10_len1000</t>
  </si>
  <si>
    <t>3.2_t10_len10000</t>
  </si>
  <si>
    <t>3.2_t20_len100</t>
  </si>
  <si>
    <t>3.2_t20_len1000</t>
  </si>
  <si>
    <t>3.2_t20_len10000</t>
  </si>
  <si>
    <t>3.2_t40_len100</t>
  </si>
  <si>
    <t>3.2_t40_len1000</t>
  </si>
  <si>
    <t>3.2_t40_len10000</t>
  </si>
  <si>
    <t>3.2_t80_len100</t>
  </si>
  <si>
    <t>3.2_t80_len1000</t>
  </si>
  <si>
    <t>3.2_t80_len10000</t>
  </si>
  <si>
    <t>3.3_t10_len100</t>
  </si>
  <si>
    <t>3.3_t10_len1000</t>
  </si>
  <si>
    <t>3.3_t10_len10000</t>
  </si>
  <si>
    <t>3.3_t20_len100</t>
  </si>
  <si>
    <t>3.3_t20_len1000</t>
  </si>
  <si>
    <t>3.3_t20_len10000</t>
  </si>
  <si>
    <t>3.3_t40_len100</t>
  </si>
  <si>
    <t>3.3_t40_len1000</t>
  </si>
  <si>
    <t>3.3_t40_len10000</t>
  </si>
  <si>
    <t>3.3_t80_len100</t>
  </si>
  <si>
    <t>3.3_t80_len1000</t>
  </si>
  <si>
    <t>3.3_t80_len10000</t>
  </si>
  <si>
    <t>3.4_t10_len100</t>
  </si>
  <si>
    <t>3.4_t10_len1000</t>
  </si>
  <si>
    <t>3.4_t10_len10000</t>
  </si>
  <si>
    <t>3.4_t20_len100</t>
  </si>
  <si>
    <t>3.4_t20_len1000</t>
  </si>
  <si>
    <t>3.4_t20_len10000</t>
  </si>
  <si>
    <t>3.4_t40_len100</t>
  </si>
  <si>
    <t>3.4_t40_len1000</t>
  </si>
  <si>
    <t>3.4_t40_len10000</t>
  </si>
  <si>
    <t>3.4_t80_len100</t>
  </si>
  <si>
    <t>3.4_t80_len1000</t>
  </si>
  <si>
    <t>3.4_t80_len10000</t>
  </si>
  <si>
    <t>3.5_t10_len100</t>
  </si>
  <si>
    <t>3.5_t10_len1000</t>
  </si>
  <si>
    <t>3.5_t10_len10000</t>
  </si>
  <si>
    <t>3.5_t20_len100</t>
  </si>
  <si>
    <t>3.5_t20_len1000</t>
  </si>
  <si>
    <t>3.5_t20_len10000</t>
  </si>
  <si>
    <t>3.5_t40_len100</t>
  </si>
  <si>
    <t>3.5_t40_len1000</t>
  </si>
  <si>
    <t>3.5_t40_len10000</t>
  </si>
  <si>
    <t>3.5_t80_len100</t>
  </si>
  <si>
    <t>3.5_t80_len1000</t>
  </si>
  <si>
    <t>3.5_t80_len10000</t>
  </si>
  <si>
    <t>3.6_t10_len100</t>
  </si>
  <si>
    <t>3.6_t10_len1000</t>
  </si>
  <si>
    <t>3.6_t10_len10000</t>
  </si>
  <si>
    <t>3.6_t20_len100</t>
  </si>
  <si>
    <t>3.6_t20_len1000</t>
  </si>
  <si>
    <t>3.6_t20_len10000</t>
  </si>
  <si>
    <t>3.6_t40_len100</t>
  </si>
  <si>
    <t>3.6_t40_len1000</t>
  </si>
  <si>
    <t>3.6_t40_len10000</t>
  </si>
  <si>
    <t>3.6_t80_len100</t>
  </si>
  <si>
    <t>3.6_t80_len1000</t>
  </si>
  <si>
    <t>3.6_t80_len10000</t>
  </si>
  <si>
    <t>3.7_t10_len100</t>
  </si>
  <si>
    <t>3.7_t10_len1000</t>
  </si>
  <si>
    <t>3.7_t10_len10000</t>
  </si>
  <si>
    <t>3.7_t20_len100</t>
  </si>
  <si>
    <t>3.7_t20_len1000</t>
  </si>
  <si>
    <t>3.7_t20_len10000</t>
  </si>
  <si>
    <t>3.7_t40_len100</t>
  </si>
  <si>
    <t>3.7_t40_len1000</t>
  </si>
  <si>
    <t>3.7_t40_len10000</t>
  </si>
  <si>
    <t>3.7_t80_len100</t>
  </si>
  <si>
    <t>3.7_t80_len1000</t>
  </si>
  <si>
    <t>3.7_t80_len10000</t>
  </si>
  <si>
    <t>3.8_t10_len100</t>
  </si>
  <si>
    <t>3.8_t10_len1000</t>
  </si>
  <si>
    <t>3.8_t10_len10000</t>
  </si>
  <si>
    <t>3.8_t20_len100</t>
  </si>
  <si>
    <t>3.8_t20_len1000</t>
  </si>
  <si>
    <t>3.8_t20_len10000</t>
  </si>
  <si>
    <t>3.8_t40_len100</t>
  </si>
  <si>
    <t>3.8_t40_len10000</t>
  </si>
  <si>
    <t>3.8_t80_len100</t>
  </si>
  <si>
    <t>3.8_t80_len1000</t>
  </si>
  <si>
    <t>3.8_t80_len10000</t>
  </si>
  <si>
    <t>change_cost</t>
  </si>
  <si>
    <t>change_time</t>
  </si>
  <si>
    <t>cost_change</t>
  </si>
  <si>
    <t>time_change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</si>
</sst>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8" fillId="0" borderId="0" xfId="0" applyFont="1"/>
    <xf numFmtId="0" fontId="0" fillId="0" borderId="0" xfId="0" applyFill="1"/>
    <xf numFmtId="11" fontId="0" fillId="33" borderId="0" xfId="0" applyNumberFormat="1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33" borderId="0" xfId="0" applyFont="1" applyFill="1"/>
    <xf numFmtId="11" fontId="0" fillId="33" borderId="0" xfId="0" applyNumberFormat="1" applyFont="1" applyFill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390F-27DD-6242-9536-D7107CDDA9EC}">
  <dimension ref="A1:N61"/>
  <sheetViews>
    <sheetView tabSelected="1" workbookViewId="0">
      <selection sqref="A1:XFD61"/>
    </sheetView>
  </sheetViews>
  <sheetFormatPr baseColWidth="10" defaultRowHeight="16" x14ac:dyDescent="0.2"/>
  <sheetData>
    <row r="1" spans="1:14" x14ac:dyDescent="0.2">
      <c r="A1" t="s">
        <v>10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1" t="s">
        <v>9</v>
      </c>
      <c r="M1" s="11" t="s">
        <v>108</v>
      </c>
      <c r="N1" s="11" t="s">
        <v>109</v>
      </c>
    </row>
    <row r="2" spans="1:14" x14ac:dyDescent="0.2">
      <c r="A2" t="s">
        <v>11</v>
      </c>
      <c r="B2" t="s">
        <v>13</v>
      </c>
      <c r="C2">
        <v>1</v>
      </c>
      <c r="D2">
        <v>0</v>
      </c>
      <c r="E2">
        <v>10</v>
      </c>
      <c r="F2">
        <v>100</v>
      </c>
      <c r="G2">
        <v>997</v>
      </c>
      <c r="H2">
        <v>3.5669999999999999E-3</v>
      </c>
      <c r="I2">
        <v>3.6971600000000001E-3</v>
      </c>
      <c r="J2">
        <v>346</v>
      </c>
      <c r="K2">
        <v>2</v>
      </c>
      <c r="L2" s="11">
        <v>188.08699999999999</v>
      </c>
      <c r="M2">
        <v>0</v>
      </c>
      <c r="N2">
        <v>0</v>
      </c>
    </row>
    <row r="3" spans="1:14" x14ac:dyDescent="0.2">
      <c r="A3" t="s">
        <v>11</v>
      </c>
      <c r="B3" t="s">
        <v>14</v>
      </c>
      <c r="C3">
        <v>1</v>
      </c>
      <c r="D3">
        <v>0</v>
      </c>
      <c r="E3">
        <v>10</v>
      </c>
      <c r="F3">
        <v>1000</v>
      </c>
      <c r="G3">
        <v>9997</v>
      </c>
      <c r="H3">
        <v>2.6887999999999999E-2</v>
      </c>
      <c r="I3">
        <v>2.716184E-2</v>
      </c>
      <c r="J3" s="7">
        <v>3357</v>
      </c>
      <c r="K3" s="7">
        <v>3</v>
      </c>
      <c r="L3" s="7">
        <v>2655.9209999999998</v>
      </c>
      <c r="M3">
        <v>0</v>
      </c>
      <c r="N3">
        <v>0</v>
      </c>
    </row>
    <row r="4" spans="1:14" x14ac:dyDescent="0.2">
      <c r="A4" t="s">
        <v>11</v>
      </c>
      <c r="B4" s="10" t="s">
        <v>15</v>
      </c>
      <c r="C4">
        <v>1</v>
      </c>
      <c r="D4">
        <v>0</v>
      </c>
      <c r="E4">
        <v>10</v>
      </c>
      <c r="F4">
        <v>10000</v>
      </c>
      <c r="G4">
        <v>99600</v>
      </c>
      <c r="H4">
        <v>0.32880700000000002</v>
      </c>
      <c r="I4">
        <v>0.41839099000000002</v>
      </c>
      <c r="J4" s="16">
        <v>33266</v>
      </c>
      <c r="K4" s="16">
        <v>2</v>
      </c>
      <c r="L4" s="16">
        <v>34746.883999999998</v>
      </c>
      <c r="M4">
        <v>0</v>
      </c>
      <c r="N4">
        <v>0</v>
      </c>
    </row>
    <row r="5" spans="1:14" x14ac:dyDescent="0.2">
      <c r="A5" t="s">
        <v>11</v>
      </c>
      <c r="B5" s="10" t="s">
        <v>16</v>
      </c>
      <c r="C5">
        <v>1</v>
      </c>
      <c r="D5">
        <v>0</v>
      </c>
      <c r="E5">
        <v>20</v>
      </c>
      <c r="F5">
        <v>100</v>
      </c>
      <c r="G5">
        <v>1987</v>
      </c>
      <c r="H5">
        <v>5.8729999999999997E-3</v>
      </c>
      <c r="I5">
        <v>6.9060299999999996E-3</v>
      </c>
      <c r="J5" s="5">
        <v>685</v>
      </c>
      <c r="K5" s="5">
        <v>2</v>
      </c>
      <c r="L5" s="5">
        <v>2551.1529999999998</v>
      </c>
      <c r="M5">
        <v>0</v>
      </c>
      <c r="N5">
        <v>0</v>
      </c>
    </row>
    <row r="6" spans="1:14" x14ac:dyDescent="0.2">
      <c r="A6" t="s">
        <v>11</v>
      </c>
      <c r="B6" s="10" t="s">
        <v>17</v>
      </c>
      <c r="C6">
        <v>1</v>
      </c>
      <c r="D6">
        <v>0</v>
      </c>
      <c r="E6">
        <v>20</v>
      </c>
      <c r="F6">
        <v>1000</v>
      </c>
      <c r="G6">
        <v>19983</v>
      </c>
      <c r="H6">
        <v>4.9492000000000001E-2</v>
      </c>
      <c r="I6">
        <v>5.05631E-2</v>
      </c>
      <c r="J6" s="6">
        <v>6991</v>
      </c>
      <c r="K6" s="6">
        <v>1</v>
      </c>
      <c r="L6" s="6">
        <v>29482.580999999998</v>
      </c>
      <c r="M6">
        <v>0</v>
      </c>
      <c r="N6">
        <v>0</v>
      </c>
    </row>
    <row r="7" spans="1:14" x14ac:dyDescent="0.2">
      <c r="A7" t="s">
        <v>11</v>
      </c>
      <c r="B7" s="10" t="s">
        <v>18</v>
      </c>
      <c r="C7">
        <v>1</v>
      </c>
      <c r="D7">
        <v>0</v>
      </c>
      <c r="E7">
        <v>20</v>
      </c>
      <c r="F7">
        <v>10000</v>
      </c>
      <c r="G7">
        <v>198677</v>
      </c>
      <c r="H7">
        <v>0.50287000000000004</v>
      </c>
      <c r="I7">
        <v>0.51095389999999996</v>
      </c>
      <c r="J7" s="15">
        <v>69332</v>
      </c>
      <c r="K7" s="15">
        <v>1</v>
      </c>
      <c r="L7" s="15">
        <v>390118.52399999998</v>
      </c>
      <c r="M7">
        <v>0</v>
      </c>
      <c r="N7">
        <v>0</v>
      </c>
    </row>
    <row r="8" spans="1:14" x14ac:dyDescent="0.2">
      <c r="A8" t="s">
        <v>11</v>
      </c>
      <c r="B8" s="10" t="s">
        <v>19</v>
      </c>
      <c r="C8">
        <v>1</v>
      </c>
      <c r="D8">
        <v>0</v>
      </c>
      <c r="E8">
        <v>40</v>
      </c>
      <c r="F8">
        <v>100</v>
      </c>
      <c r="G8">
        <v>3965</v>
      </c>
      <c r="H8">
        <v>1.1343000000000001E-2</v>
      </c>
      <c r="I8">
        <v>1.212907E-2</v>
      </c>
      <c r="J8" s="2">
        <v>1412</v>
      </c>
      <c r="K8" s="2">
        <v>1</v>
      </c>
      <c r="L8" s="2">
        <v>18695.815999999999</v>
      </c>
      <c r="M8">
        <v>0</v>
      </c>
      <c r="N8">
        <v>0</v>
      </c>
    </row>
    <row r="9" spans="1:14" x14ac:dyDescent="0.2">
      <c r="A9" t="s">
        <v>11</v>
      </c>
      <c r="B9" s="10" t="s">
        <v>20</v>
      </c>
      <c r="C9">
        <v>1</v>
      </c>
      <c r="D9">
        <v>0</v>
      </c>
      <c r="E9">
        <v>40</v>
      </c>
      <c r="F9">
        <v>1000</v>
      </c>
      <c r="G9">
        <v>39907</v>
      </c>
      <c r="H9">
        <v>9.2376E-2</v>
      </c>
      <c r="I9">
        <v>9.4183920000000004E-2</v>
      </c>
      <c r="J9" s="14">
        <v>14132</v>
      </c>
      <c r="K9" s="14">
        <v>1</v>
      </c>
      <c r="L9" s="14">
        <v>278214.19300000003</v>
      </c>
      <c r="M9">
        <v>0</v>
      </c>
      <c r="N9">
        <v>0</v>
      </c>
    </row>
    <row r="10" spans="1:14" x14ac:dyDescent="0.2">
      <c r="A10" t="s">
        <v>11</v>
      </c>
      <c r="B10" s="10" t="s">
        <v>21</v>
      </c>
      <c r="C10">
        <v>1</v>
      </c>
      <c r="D10">
        <v>0</v>
      </c>
      <c r="E10">
        <v>40</v>
      </c>
      <c r="F10">
        <v>10000</v>
      </c>
      <c r="G10">
        <v>396791</v>
      </c>
      <c r="H10">
        <v>0.96195600000000003</v>
      </c>
      <c r="I10">
        <v>0.98200273999999999</v>
      </c>
      <c r="J10" s="4">
        <v>139786</v>
      </c>
      <c r="K10" s="4">
        <v>1</v>
      </c>
      <c r="L10" s="4">
        <v>45338656.719999999</v>
      </c>
      <c r="M10">
        <v>0</v>
      </c>
      <c r="N10">
        <v>0</v>
      </c>
    </row>
    <row r="11" spans="1:14" x14ac:dyDescent="0.2">
      <c r="A11" t="s">
        <v>11</v>
      </c>
      <c r="B11" s="10" t="s">
        <v>22</v>
      </c>
      <c r="C11">
        <v>1</v>
      </c>
      <c r="D11">
        <v>0</v>
      </c>
      <c r="E11">
        <v>80</v>
      </c>
      <c r="F11">
        <v>100</v>
      </c>
      <c r="G11">
        <v>7916</v>
      </c>
      <c r="H11">
        <v>2.0653999999999999E-2</v>
      </c>
      <c r="I11">
        <v>2.0794150000000001E-2</v>
      </c>
      <c r="J11" s="13">
        <v>2685</v>
      </c>
      <c r="K11" s="13">
        <v>1</v>
      </c>
      <c r="L11" s="13">
        <v>210979.57</v>
      </c>
      <c r="M11">
        <v>0</v>
      </c>
      <c r="N11">
        <v>0</v>
      </c>
    </row>
    <row r="12" spans="1:14" x14ac:dyDescent="0.2">
      <c r="A12" t="s">
        <v>11</v>
      </c>
      <c r="B12" s="10" t="s">
        <v>23</v>
      </c>
      <c r="C12">
        <v>1</v>
      </c>
      <c r="D12">
        <v>0</v>
      </c>
      <c r="E12">
        <v>80</v>
      </c>
      <c r="F12">
        <v>1000</v>
      </c>
      <c r="G12">
        <v>78657</v>
      </c>
      <c r="H12">
        <v>0.19187699999999999</v>
      </c>
      <c r="I12">
        <v>0.19801497000000001</v>
      </c>
      <c r="J12" s="3">
        <v>26267</v>
      </c>
      <c r="K12" s="3">
        <v>1</v>
      </c>
      <c r="L12" s="3">
        <v>2671616.8859999999</v>
      </c>
      <c r="M12">
        <v>0</v>
      </c>
      <c r="N12">
        <v>0</v>
      </c>
    </row>
    <row r="13" spans="1:14" x14ac:dyDescent="0.2">
      <c r="A13" t="s">
        <v>11</v>
      </c>
      <c r="B13" s="10" t="s">
        <v>24</v>
      </c>
      <c r="C13">
        <v>1</v>
      </c>
      <c r="D13">
        <v>0</v>
      </c>
      <c r="E13">
        <v>80</v>
      </c>
      <c r="F13">
        <v>10000</v>
      </c>
      <c r="G13">
        <v>791251</v>
      </c>
      <c r="H13">
        <v>2.0672540000000001</v>
      </c>
      <c r="I13">
        <v>2.3659317500000001</v>
      </c>
      <c r="J13" s="1">
        <v>263185</v>
      </c>
      <c r="K13" s="1">
        <v>1</v>
      </c>
      <c r="L13" s="1">
        <v>42494919.780000001</v>
      </c>
      <c r="M13">
        <v>0</v>
      </c>
      <c r="N13">
        <v>0</v>
      </c>
    </row>
    <row r="14" spans="1:14" x14ac:dyDescent="0.2">
      <c r="A14" t="s">
        <v>11</v>
      </c>
      <c r="B14" s="10" t="s">
        <v>25</v>
      </c>
      <c r="C14">
        <v>2</v>
      </c>
      <c r="D14">
        <v>1</v>
      </c>
      <c r="E14">
        <v>10</v>
      </c>
      <c r="F14">
        <v>100</v>
      </c>
      <c r="G14">
        <v>997</v>
      </c>
      <c r="H14">
        <v>3.8660000000000001E-3</v>
      </c>
      <c r="I14">
        <v>4.0888799999999996E-3</v>
      </c>
      <c r="J14">
        <v>348</v>
      </c>
      <c r="K14">
        <v>1</v>
      </c>
      <c r="L14" s="11">
        <v>236.649</v>
      </c>
      <c r="M14">
        <f>J14-J2</f>
        <v>2</v>
      </c>
      <c r="N14">
        <f>L14-L2</f>
        <v>48.562000000000012</v>
      </c>
    </row>
    <row r="15" spans="1:14" x14ac:dyDescent="0.2">
      <c r="A15" t="s">
        <v>11</v>
      </c>
      <c r="B15" s="10" t="s">
        <v>26</v>
      </c>
      <c r="C15">
        <v>2</v>
      </c>
      <c r="D15">
        <v>1</v>
      </c>
      <c r="E15">
        <v>10</v>
      </c>
      <c r="F15">
        <v>1000</v>
      </c>
      <c r="G15">
        <v>9997</v>
      </c>
      <c r="H15">
        <v>2.8990999999999999E-2</v>
      </c>
      <c r="I15">
        <v>2.908635E-2</v>
      </c>
      <c r="J15" s="7">
        <v>3358</v>
      </c>
      <c r="K15" s="7">
        <v>2</v>
      </c>
      <c r="L15" s="7">
        <v>1878.2190000000001</v>
      </c>
      <c r="M15">
        <f>J15-J3</f>
        <v>1</v>
      </c>
      <c r="N15">
        <f t="shared" ref="N15:N61" si="0">L15-L3</f>
        <v>-777.70199999999977</v>
      </c>
    </row>
    <row r="16" spans="1:14" x14ac:dyDescent="0.2">
      <c r="A16" t="s">
        <v>11</v>
      </c>
      <c r="B16" s="10" t="s">
        <v>27</v>
      </c>
      <c r="C16">
        <v>2</v>
      </c>
      <c r="D16">
        <v>1</v>
      </c>
      <c r="E16">
        <v>10</v>
      </c>
      <c r="F16">
        <v>10000</v>
      </c>
      <c r="G16">
        <v>99600</v>
      </c>
      <c r="H16">
        <v>0.27939399999999998</v>
      </c>
      <c r="I16">
        <v>0.28424788000000001</v>
      </c>
      <c r="J16" s="16">
        <v>33279</v>
      </c>
      <c r="K16" s="16">
        <v>2</v>
      </c>
      <c r="L16" s="16">
        <v>33028.516000000003</v>
      </c>
      <c r="M16">
        <f t="shared" ref="M16:M61" si="1">J16-J4</f>
        <v>13</v>
      </c>
      <c r="N16">
        <f t="shared" si="0"/>
        <v>-1718.3679999999949</v>
      </c>
    </row>
    <row r="17" spans="1:14" x14ac:dyDescent="0.2">
      <c r="A17" t="s">
        <v>11</v>
      </c>
      <c r="B17" s="10" t="s">
        <v>28</v>
      </c>
      <c r="C17">
        <v>2</v>
      </c>
      <c r="D17">
        <v>1</v>
      </c>
      <c r="E17">
        <v>20</v>
      </c>
      <c r="F17">
        <v>100</v>
      </c>
      <c r="G17">
        <v>1987</v>
      </c>
      <c r="H17">
        <v>7.6499999999999997E-3</v>
      </c>
      <c r="I17">
        <v>8.3968600000000008E-3</v>
      </c>
      <c r="J17" s="5">
        <v>693</v>
      </c>
      <c r="K17" s="5">
        <v>1</v>
      </c>
      <c r="L17" s="5">
        <v>2986.0479999999998</v>
      </c>
      <c r="M17">
        <f t="shared" si="1"/>
        <v>8</v>
      </c>
      <c r="N17">
        <f t="shared" si="0"/>
        <v>434.89499999999998</v>
      </c>
    </row>
    <row r="18" spans="1:14" x14ac:dyDescent="0.2">
      <c r="A18" t="s">
        <v>11</v>
      </c>
      <c r="B18" s="10" t="s">
        <v>29</v>
      </c>
      <c r="C18">
        <v>2</v>
      </c>
      <c r="D18">
        <v>1</v>
      </c>
      <c r="E18">
        <v>20</v>
      </c>
      <c r="F18">
        <v>1000</v>
      </c>
      <c r="G18">
        <v>19983</v>
      </c>
      <c r="H18">
        <v>5.1749000000000003E-2</v>
      </c>
      <c r="I18">
        <v>5.3464890000000001E-2</v>
      </c>
      <c r="J18" s="6">
        <v>7011</v>
      </c>
      <c r="K18" s="6">
        <v>1</v>
      </c>
      <c r="L18" s="6">
        <v>28005.481</v>
      </c>
      <c r="M18">
        <f t="shared" si="1"/>
        <v>20</v>
      </c>
      <c r="N18">
        <f t="shared" si="0"/>
        <v>-1477.0999999999985</v>
      </c>
    </row>
    <row r="19" spans="1:14" x14ac:dyDescent="0.2">
      <c r="A19" t="s">
        <v>11</v>
      </c>
      <c r="B19" s="10" t="s">
        <v>30</v>
      </c>
      <c r="C19">
        <v>2</v>
      </c>
      <c r="D19">
        <v>1</v>
      </c>
      <c r="E19">
        <v>20</v>
      </c>
      <c r="F19">
        <v>10000</v>
      </c>
      <c r="G19">
        <v>198677</v>
      </c>
      <c r="H19">
        <v>0.51940500000000001</v>
      </c>
      <c r="I19">
        <v>0.53595113999999999</v>
      </c>
      <c r="J19" s="15">
        <v>69392</v>
      </c>
      <c r="K19" s="15">
        <v>2</v>
      </c>
      <c r="L19" s="15">
        <v>357179.10200000001</v>
      </c>
      <c r="M19">
        <f t="shared" si="1"/>
        <v>60</v>
      </c>
      <c r="N19">
        <f t="shared" si="0"/>
        <v>-32939.421999999962</v>
      </c>
    </row>
    <row r="20" spans="1:14" x14ac:dyDescent="0.2">
      <c r="A20" t="s">
        <v>11</v>
      </c>
      <c r="B20" s="10" t="s">
        <v>31</v>
      </c>
      <c r="C20">
        <v>2</v>
      </c>
      <c r="D20">
        <v>1</v>
      </c>
      <c r="E20">
        <v>40</v>
      </c>
      <c r="F20">
        <v>100</v>
      </c>
      <c r="G20">
        <v>3965</v>
      </c>
      <c r="H20">
        <v>1.0441000000000001E-2</v>
      </c>
      <c r="I20">
        <v>1.058602E-2</v>
      </c>
      <c r="J20" s="2">
        <v>1420</v>
      </c>
      <c r="K20" s="2">
        <v>1</v>
      </c>
      <c r="L20" s="2">
        <v>21790.026000000002</v>
      </c>
      <c r="M20">
        <f t="shared" si="1"/>
        <v>8</v>
      </c>
      <c r="N20">
        <f t="shared" si="0"/>
        <v>3094.2100000000028</v>
      </c>
    </row>
    <row r="21" spans="1:14" x14ac:dyDescent="0.2">
      <c r="A21" t="s">
        <v>11</v>
      </c>
      <c r="B21" s="10" t="s">
        <v>32</v>
      </c>
      <c r="C21">
        <v>2</v>
      </c>
      <c r="D21">
        <v>1</v>
      </c>
      <c r="E21">
        <v>40</v>
      </c>
      <c r="F21">
        <v>1000</v>
      </c>
      <c r="G21">
        <v>39907</v>
      </c>
      <c r="H21">
        <v>9.9750000000000005E-2</v>
      </c>
      <c r="I21">
        <v>0.10255694</v>
      </c>
      <c r="J21" s="14">
        <v>14174</v>
      </c>
      <c r="K21" s="14">
        <v>1</v>
      </c>
      <c r="L21" s="14">
        <v>289712.07900000003</v>
      </c>
      <c r="M21">
        <f t="shared" si="1"/>
        <v>42</v>
      </c>
      <c r="N21">
        <f t="shared" si="0"/>
        <v>11497.885999999999</v>
      </c>
    </row>
    <row r="22" spans="1:14" x14ac:dyDescent="0.2">
      <c r="A22" t="s">
        <v>11</v>
      </c>
      <c r="B22" s="10" t="s">
        <v>33</v>
      </c>
      <c r="C22">
        <v>2</v>
      </c>
      <c r="D22">
        <v>1</v>
      </c>
      <c r="E22">
        <v>40</v>
      </c>
      <c r="F22">
        <v>10000</v>
      </c>
      <c r="G22">
        <v>396791</v>
      </c>
      <c r="H22">
        <v>0.93147400000000002</v>
      </c>
      <c r="I22">
        <v>0.93528317999999999</v>
      </c>
      <c r="J22" s="4">
        <v>139940</v>
      </c>
      <c r="K22" s="4">
        <v>1</v>
      </c>
      <c r="L22" s="4">
        <v>3905536.0529999998</v>
      </c>
      <c r="M22">
        <f t="shared" si="1"/>
        <v>154</v>
      </c>
      <c r="N22">
        <f t="shared" si="0"/>
        <v>-41433120.666999996</v>
      </c>
    </row>
    <row r="23" spans="1:14" x14ac:dyDescent="0.2">
      <c r="A23" t="s">
        <v>11</v>
      </c>
      <c r="B23" s="10" t="s">
        <v>34</v>
      </c>
      <c r="C23">
        <v>2</v>
      </c>
      <c r="D23">
        <v>1</v>
      </c>
      <c r="E23">
        <v>80</v>
      </c>
      <c r="F23">
        <v>100</v>
      </c>
      <c r="G23">
        <v>7916</v>
      </c>
      <c r="H23">
        <v>2.0031E-2</v>
      </c>
      <c r="I23">
        <v>2.0530940000000001E-2</v>
      </c>
      <c r="J23" s="13">
        <v>2730</v>
      </c>
      <c r="K23" s="13">
        <v>1</v>
      </c>
      <c r="L23" s="13">
        <v>232603.261</v>
      </c>
      <c r="M23">
        <f t="shared" si="1"/>
        <v>45</v>
      </c>
      <c r="N23">
        <f t="shared" si="0"/>
        <v>21623.690999999992</v>
      </c>
    </row>
    <row r="24" spans="1:14" x14ac:dyDescent="0.2">
      <c r="A24" t="s">
        <v>11</v>
      </c>
      <c r="B24" s="10" t="s">
        <v>35</v>
      </c>
      <c r="C24">
        <v>2</v>
      </c>
      <c r="D24">
        <v>1</v>
      </c>
      <c r="E24">
        <v>80</v>
      </c>
      <c r="F24">
        <v>1000</v>
      </c>
      <c r="G24">
        <v>78657</v>
      </c>
      <c r="H24">
        <v>0.18313499999999999</v>
      </c>
      <c r="I24">
        <v>0.18543506000000001</v>
      </c>
      <c r="J24" s="3">
        <v>26350</v>
      </c>
      <c r="K24" s="3">
        <v>1</v>
      </c>
      <c r="L24" s="3">
        <v>2827274.4309999999</v>
      </c>
      <c r="M24">
        <f t="shared" si="1"/>
        <v>83</v>
      </c>
      <c r="N24">
        <f t="shared" si="0"/>
        <v>155657.54499999993</v>
      </c>
    </row>
    <row r="25" spans="1:14" x14ac:dyDescent="0.2">
      <c r="A25" t="s">
        <v>11</v>
      </c>
      <c r="B25" s="10" t="s">
        <v>36</v>
      </c>
      <c r="C25">
        <v>2</v>
      </c>
      <c r="D25">
        <v>1</v>
      </c>
      <c r="E25">
        <v>80</v>
      </c>
      <c r="F25">
        <v>10000</v>
      </c>
      <c r="G25">
        <v>791251</v>
      </c>
      <c r="H25">
        <v>1.914431</v>
      </c>
      <c r="I25">
        <v>1.9443078</v>
      </c>
      <c r="J25" s="1">
        <v>263235</v>
      </c>
      <c r="K25" s="1">
        <v>1</v>
      </c>
      <c r="L25" s="12">
        <v>37900000</v>
      </c>
      <c r="M25">
        <f>J25-J13</f>
        <v>50</v>
      </c>
      <c r="N25">
        <f t="shared" si="0"/>
        <v>-4594919.7800000012</v>
      </c>
    </row>
    <row r="26" spans="1:14" x14ac:dyDescent="0.2">
      <c r="A26" t="s">
        <v>11</v>
      </c>
      <c r="B26" s="10" t="s">
        <v>37</v>
      </c>
      <c r="C26">
        <v>3</v>
      </c>
      <c r="D26">
        <v>2</v>
      </c>
      <c r="E26">
        <v>10</v>
      </c>
      <c r="F26">
        <v>100</v>
      </c>
      <c r="G26">
        <v>997</v>
      </c>
      <c r="H26">
        <v>5.7159999999999997E-3</v>
      </c>
      <c r="I26">
        <v>5.9258899999999996E-3</v>
      </c>
      <c r="J26">
        <v>354</v>
      </c>
      <c r="K26">
        <v>1</v>
      </c>
      <c r="L26" s="11">
        <v>279.27300000000002</v>
      </c>
      <c r="M26">
        <f t="shared" si="1"/>
        <v>6</v>
      </c>
      <c r="N26">
        <f t="shared" si="0"/>
        <v>42.624000000000024</v>
      </c>
    </row>
    <row r="27" spans="1:14" x14ac:dyDescent="0.2">
      <c r="A27" t="s">
        <v>11</v>
      </c>
      <c r="B27" s="10" t="s">
        <v>38</v>
      </c>
      <c r="C27">
        <v>3</v>
      </c>
      <c r="D27">
        <v>2</v>
      </c>
      <c r="E27">
        <v>10</v>
      </c>
      <c r="F27">
        <v>1000</v>
      </c>
      <c r="G27">
        <v>9997</v>
      </c>
      <c r="H27">
        <v>2.6468999999999999E-2</v>
      </c>
      <c r="I27">
        <v>2.6546E-2</v>
      </c>
      <c r="J27" s="7">
        <v>3372</v>
      </c>
      <c r="K27" s="7">
        <v>4</v>
      </c>
      <c r="L27" s="7">
        <v>1964.9770000000001</v>
      </c>
      <c r="M27">
        <f t="shared" si="1"/>
        <v>14</v>
      </c>
      <c r="N27">
        <f t="shared" si="0"/>
        <v>86.758000000000038</v>
      </c>
    </row>
    <row r="28" spans="1:14" x14ac:dyDescent="0.2">
      <c r="A28" t="s">
        <v>11</v>
      </c>
      <c r="B28" s="10" t="s">
        <v>39</v>
      </c>
      <c r="C28">
        <v>3</v>
      </c>
      <c r="D28">
        <v>2</v>
      </c>
      <c r="E28">
        <v>10</v>
      </c>
      <c r="F28">
        <v>10000</v>
      </c>
      <c r="G28">
        <v>99600</v>
      </c>
      <c r="H28">
        <v>0.28694700000000001</v>
      </c>
      <c r="I28">
        <v>0.30184817000000003</v>
      </c>
      <c r="J28" s="16">
        <v>33303</v>
      </c>
      <c r="K28" s="16">
        <v>2</v>
      </c>
      <c r="L28" s="16">
        <v>20333.065999999999</v>
      </c>
      <c r="M28">
        <f t="shared" si="1"/>
        <v>24</v>
      </c>
      <c r="N28">
        <f t="shared" si="0"/>
        <v>-12695.450000000004</v>
      </c>
    </row>
    <row r="29" spans="1:14" x14ac:dyDescent="0.2">
      <c r="A29" t="s">
        <v>11</v>
      </c>
      <c r="B29" s="10" t="s">
        <v>40</v>
      </c>
      <c r="C29">
        <v>3</v>
      </c>
      <c r="D29">
        <v>2</v>
      </c>
      <c r="E29">
        <v>20</v>
      </c>
      <c r="F29">
        <v>100</v>
      </c>
      <c r="G29">
        <v>1987</v>
      </c>
      <c r="H29">
        <v>8.6650000000000008E-3</v>
      </c>
      <c r="I29">
        <v>9.4437600000000007E-3</v>
      </c>
      <c r="J29" s="5">
        <v>703</v>
      </c>
      <c r="K29" s="5">
        <v>1</v>
      </c>
      <c r="L29" s="5">
        <v>2198.3649999999998</v>
      </c>
      <c r="M29">
        <f t="shared" si="1"/>
        <v>10</v>
      </c>
      <c r="N29">
        <f t="shared" si="0"/>
        <v>-787.68299999999999</v>
      </c>
    </row>
    <row r="30" spans="1:14" x14ac:dyDescent="0.2">
      <c r="A30" t="s">
        <v>11</v>
      </c>
      <c r="B30" s="10" t="s">
        <v>41</v>
      </c>
      <c r="C30">
        <v>3</v>
      </c>
      <c r="D30">
        <v>2</v>
      </c>
      <c r="E30">
        <v>20</v>
      </c>
      <c r="F30">
        <v>1000</v>
      </c>
      <c r="G30">
        <v>19983</v>
      </c>
      <c r="H30">
        <v>4.8845E-2</v>
      </c>
      <c r="I30">
        <v>4.9627070000000002E-2</v>
      </c>
      <c r="J30" s="6">
        <v>7046</v>
      </c>
      <c r="K30" s="6">
        <v>1</v>
      </c>
      <c r="L30" s="6">
        <v>28775.846000000001</v>
      </c>
      <c r="M30">
        <f t="shared" si="1"/>
        <v>35</v>
      </c>
      <c r="N30">
        <f t="shared" si="0"/>
        <v>770.3650000000016</v>
      </c>
    </row>
    <row r="31" spans="1:14" x14ac:dyDescent="0.2">
      <c r="A31" t="s">
        <v>11</v>
      </c>
      <c r="B31" s="10" t="s">
        <v>42</v>
      </c>
      <c r="C31">
        <v>3</v>
      </c>
      <c r="D31">
        <v>2</v>
      </c>
      <c r="E31">
        <v>20</v>
      </c>
      <c r="F31">
        <v>10000</v>
      </c>
      <c r="G31">
        <v>198677</v>
      </c>
      <c r="H31">
        <v>0.52512599999999998</v>
      </c>
      <c r="I31">
        <v>0.53225803000000005</v>
      </c>
      <c r="J31" s="15">
        <v>69415</v>
      </c>
      <c r="K31" s="15">
        <v>1</v>
      </c>
      <c r="L31" s="15">
        <v>296511.65600000002</v>
      </c>
      <c r="M31">
        <f t="shared" si="1"/>
        <v>23</v>
      </c>
      <c r="N31">
        <f t="shared" si="0"/>
        <v>-60667.445999999996</v>
      </c>
    </row>
    <row r="32" spans="1:14" x14ac:dyDescent="0.2">
      <c r="A32" t="s">
        <v>11</v>
      </c>
      <c r="B32" s="10" t="s">
        <v>43</v>
      </c>
      <c r="C32">
        <v>3</v>
      </c>
      <c r="D32">
        <v>2</v>
      </c>
      <c r="E32">
        <v>40</v>
      </c>
      <c r="F32">
        <v>100</v>
      </c>
      <c r="G32">
        <v>3965</v>
      </c>
      <c r="H32">
        <v>1.0083999999999999E-2</v>
      </c>
      <c r="I32">
        <v>1.010609E-2</v>
      </c>
      <c r="J32" s="2">
        <v>1449</v>
      </c>
      <c r="K32" s="2">
        <v>1</v>
      </c>
      <c r="L32" s="2">
        <v>25535.506000000001</v>
      </c>
      <c r="M32">
        <f t="shared" si="1"/>
        <v>29</v>
      </c>
      <c r="N32">
        <f t="shared" si="0"/>
        <v>3745.4799999999996</v>
      </c>
    </row>
    <row r="33" spans="1:14" x14ac:dyDescent="0.2">
      <c r="A33" t="s">
        <v>11</v>
      </c>
      <c r="B33" s="10" t="s">
        <v>44</v>
      </c>
      <c r="C33">
        <v>3</v>
      </c>
      <c r="D33">
        <v>2</v>
      </c>
      <c r="E33">
        <v>40</v>
      </c>
      <c r="F33">
        <v>1000</v>
      </c>
      <c r="G33">
        <v>39907</v>
      </c>
      <c r="H33">
        <v>9.6226000000000006E-2</v>
      </c>
      <c r="I33">
        <v>9.8910090000000006E-2</v>
      </c>
      <c r="J33" s="14">
        <v>14246</v>
      </c>
      <c r="K33" s="14">
        <v>1</v>
      </c>
      <c r="L33" s="14">
        <v>254567.21599999999</v>
      </c>
      <c r="M33">
        <f t="shared" si="1"/>
        <v>72</v>
      </c>
      <c r="N33">
        <f t="shared" si="0"/>
        <v>-35144.863000000041</v>
      </c>
    </row>
    <row r="34" spans="1:14" x14ac:dyDescent="0.2">
      <c r="A34" t="s">
        <v>11</v>
      </c>
      <c r="B34" s="10" t="s">
        <v>45</v>
      </c>
      <c r="C34">
        <v>3</v>
      </c>
      <c r="D34">
        <v>2</v>
      </c>
      <c r="E34">
        <v>40</v>
      </c>
      <c r="F34">
        <v>10000</v>
      </c>
      <c r="G34">
        <v>396791</v>
      </c>
      <c r="H34">
        <v>0.96683200000000002</v>
      </c>
      <c r="I34">
        <v>0.98024106</v>
      </c>
      <c r="J34" s="4">
        <v>139955</v>
      </c>
      <c r="K34" s="4">
        <v>1</v>
      </c>
      <c r="L34" s="4">
        <v>3287602.4130000002</v>
      </c>
      <c r="M34">
        <f t="shared" si="1"/>
        <v>15</v>
      </c>
      <c r="N34">
        <f t="shared" si="0"/>
        <v>-617933.63999999966</v>
      </c>
    </row>
    <row r="35" spans="1:14" x14ac:dyDescent="0.2">
      <c r="A35" t="s">
        <v>11</v>
      </c>
      <c r="B35" s="10" t="s">
        <v>46</v>
      </c>
      <c r="C35">
        <v>3</v>
      </c>
      <c r="D35">
        <v>2</v>
      </c>
      <c r="E35">
        <v>80</v>
      </c>
      <c r="F35">
        <v>100</v>
      </c>
      <c r="G35">
        <v>7916</v>
      </c>
      <c r="H35">
        <v>2.0459999999999999E-2</v>
      </c>
      <c r="I35">
        <v>2.1188019999999998E-2</v>
      </c>
      <c r="J35" s="13">
        <v>2721</v>
      </c>
      <c r="K35" s="13">
        <v>1</v>
      </c>
      <c r="L35" s="13">
        <v>280824.21299999999</v>
      </c>
      <c r="M35">
        <f>J35-J23</f>
        <v>-9</v>
      </c>
      <c r="N35">
        <f t="shared" si="0"/>
        <v>48220.95199999999</v>
      </c>
    </row>
    <row r="36" spans="1:14" x14ac:dyDescent="0.2">
      <c r="A36" t="s">
        <v>11</v>
      </c>
      <c r="B36" s="10" t="s">
        <v>47</v>
      </c>
      <c r="C36">
        <v>3</v>
      </c>
      <c r="D36">
        <v>2</v>
      </c>
      <c r="E36">
        <v>80</v>
      </c>
      <c r="F36">
        <v>1000</v>
      </c>
      <c r="G36">
        <v>78657</v>
      </c>
      <c r="H36">
        <v>0.19505700000000001</v>
      </c>
      <c r="I36">
        <v>0.19804478</v>
      </c>
      <c r="J36" s="3">
        <v>26424</v>
      </c>
      <c r="K36" s="3">
        <v>1</v>
      </c>
      <c r="L36" s="3">
        <v>2449525.5249999999</v>
      </c>
      <c r="M36">
        <f t="shared" si="1"/>
        <v>74</v>
      </c>
      <c r="N36">
        <f t="shared" si="0"/>
        <v>-377748.90599999996</v>
      </c>
    </row>
    <row r="37" spans="1:14" x14ac:dyDescent="0.2">
      <c r="A37" t="s">
        <v>11</v>
      </c>
      <c r="B37" s="10" t="s">
        <v>48</v>
      </c>
      <c r="C37">
        <v>3</v>
      </c>
      <c r="D37">
        <v>2</v>
      </c>
      <c r="E37">
        <v>80</v>
      </c>
      <c r="F37">
        <v>10000</v>
      </c>
      <c r="G37">
        <v>791251</v>
      </c>
      <c r="H37">
        <v>2.0209060000000001</v>
      </c>
      <c r="I37">
        <v>2.18471408</v>
      </c>
      <c r="J37" s="1">
        <v>263377</v>
      </c>
      <c r="K37" s="1">
        <v>1</v>
      </c>
      <c r="L37" s="12">
        <v>34286475.689999998</v>
      </c>
      <c r="M37">
        <f t="shared" si="1"/>
        <v>142</v>
      </c>
      <c r="N37">
        <f t="shared" si="0"/>
        <v>-3613524.3100000024</v>
      </c>
    </row>
    <row r="38" spans="1:14" x14ac:dyDescent="0.2">
      <c r="A38" t="s">
        <v>11</v>
      </c>
      <c r="B38" s="10" t="s">
        <v>49</v>
      </c>
      <c r="C38">
        <v>5</v>
      </c>
      <c r="D38">
        <v>4</v>
      </c>
      <c r="E38">
        <v>10</v>
      </c>
      <c r="F38">
        <v>100</v>
      </c>
      <c r="G38">
        <v>997</v>
      </c>
      <c r="H38">
        <v>3.3670000000000002E-3</v>
      </c>
      <c r="I38">
        <v>3.3659900000000001E-3</v>
      </c>
      <c r="J38">
        <v>357</v>
      </c>
      <c r="K38">
        <v>2</v>
      </c>
      <c r="L38" s="11">
        <v>280.84100000000001</v>
      </c>
      <c r="M38">
        <f t="shared" si="1"/>
        <v>3</v>
      </c>
      <c r="N38">
        <f t="shared" si="0"/>
        <v>1.5679999999999836</v>
      </c>
    </row>
    <row r="39" spans="1:14" x14ac:dyDescent="0.2">
      <c r="A39" t="s">
        <v>11</v>
      </c>
      <c r="B39" s="10" t="s">
        <v>50</v>
      </c>
      <c r="C39">
        <v>5</v>
      </c>
      <c r="D39">
        <v>4</v>
      </c>
      <c r="E39">
        <v>10</v>
      </c>
      <c r="F39">
        <v>1000</v>
      </c>
      <c r="G39">
        <v>9997</v>
      </c>
      <c r="H39">
        <v>2.7307000000000001E-2</v>
      </c>
      <c r="I39">
        <v>2.75619E-2</v>
      </c>
      <c r="J39" s="7">
        <v>3367</v>
      </c>
      <c r="K39" s="7">
        <v>3</v>
      </c>
      <c r="L39" s="7">
        <v>2376.107</v>
      </c>
      <c r="M39">
        <f t="shared" si="1"/>
        <v>-5</v>
      </c>
      <c r="N39">
        <f t="shared" si="0"/>
        <v>411.12999999999988</v>
      </c>
    </row>
    <row r="40" spans="1:14" x14ac:dyDescent="0.2">
      <c r="A40" t="s">
        <v>11</v>
      </c>
      <c r="B40" s="10" t="s">
        <v>51</v>
      </c>
      <c r="C40">
        <v>5</v>
      </c>
      <c r="D40">
        <v>4</v>
      </c>
      <c r="E40">
        <v>10</v>
      </c>
      <c r="F40">
        <v>10000</v>
      </c>
      <c r="G40">
        <v>99600</v>
      </c>
      <c r="H40">
        <v>0.29297600000000001</v>
      </c>
      <c r="I40">
        <v>0.30019212000000001</v>
      </c>
      <c r="J40" s="16">
        <v>33332</v>
      </c>
      <c r="K40" s="16">
        <v>2</v>
      </c>
      <c r="L40" s="16">
        <v>24581.168000000001</v>
      </c>
      <c r="M40">
        <f t="shared" si="1"/>
        <v>29</v>
      </c>
      <c r="N40">
        <f t="shared" si="0"/>
        <v>4248.1020000000026</v>
      </c>
    </row>
    <row r="41" spans="1:14" x14ac:dyDescent="0.2">
      <c r="A41" t="s">
        <v>11</v>
      </c>
      <c r="B41" s="10" t="s">
        <v>52</v>
      </c>
      <c r="C41">
        <v>5</v>
      </c>
      <c r="D41">
        <v>4</v>
      </c>
      <c r="E41">
        <v>20</v>
      </c>
      <c r="F41">
        <v>100</v>
      </c>
      <c r="G41">
        <v>1987</v>
      </c>
      <c r="H41">
        <v>5.5459999999999997E-3</v>
      </c>
      <c r="I41">
        <v>5.5470500000000004E-3</v>
      </c>
      <c r="J41" s="5">
        <v>713</v>
      </c>
      <c r="K41" s="5">
        <v>1</v>
      </c>
      <c r="L41" s="5">
        <v>3200.8090000000002</v>
      </c>
      <c r="M41">
        <f t="shared" si="1"/>
        <v>10</v>
      </c>
      <c r="N41">
        <f t="shared" si="0"/>
        <v>1002.4440000000004</v>
      </c>
    </row>
    <row r="42" spans="1:14" x14ac:dyDescent="0.2">
      <c r="A42" t="s">
        <v>11</v>
      </c>
      <c r="B42" s="10" t="s">
        <v>53</v>
      </c>
      <c r="C42">
        <v>5</v>
      </c>
      <c r="D42">
        <v>4</v>
      </c>
      <c r="E42">
        <v>20</v>
      </c>
      <c r="F42">
        <v>1000</v>
      </c>
      <c r="G42">
        <v>19983</v>
      </c>
      <c r="H42">
        <v>5.3247999999999997E-2</v>
      </c>
      <c r="I42">
        <v>5.4213049999999999E-2</v>
      </c>
      <c r="J42" s="6">
        <v>7068</v>
      </c>
      <c r="K42" s="6">
        <v>1</v>
      </c>
      <c r="L42" s="6">
        <v>27242.362000000001</v>
      </c>
      <c r="M42">
        <f t="shared" si="1"/>
        <v>22</v>
      </c>
      <c r="N42">
        <f t="shared" si="0"/>
        <v>-1533.4840000000004</v>
      </c>
    </row>
    <row r="43" spans="1:14" x14ac:dyDescent="0.2">
      <c r="A43" t="s">
        <v>11</v>
      </c>
      <c r="B43" s="10" t="s">
        <v>54</v>
      </c>
      <c r="C43">
        <v>5</v>
      </c>
      <c r="D43">
        <v>4</v>
      </c>
      <c r="E43">
        <v>20</v>
      </c>
      <c r="F43">
        <v>10000</v>
      </c>
      <c r="G43">
        <v>198677</v>
      </c>
      <c r="H43">
        <v>0.48879499999999998</v>
      </c>
      <c r="I43">
        <v>0.49281978999999998</v>
      </c>
      <c r="J43" s="15">
        <v>69489</v>
      </c>
      <c r="K43" s="15">
        <v>1</v>
      </c>
      <c r="L43" s="15">
        <v>315767.81300000002</v>
      </c>
      <c r="M43">
        <f t="shared" si="1"/>
        <v>74</v>
      </c>
      <c r="N43">
        <f t="shared" si="0"/>
        <v>19256.157000000007</v>
      </c>
    </row>
    <row r="44" spans="1:14" x14ac:dyDescent="0.2">
      <c r="A44" t="s">
        <v>11</v>
      </c>
      <c r="B44" s="10" t="s">
        <v>55</v>
      </c>
      <c r="C44">
        <v>5</v>
      </c>
      <c r="D44">
        <v>4</v>
      </c>
      <c r="E44">
        <v>40</v>
      </c>
      <c r="F44">
        <v>100</v>
      </c>
      <c r="G44">
        <v>3965</v>
      </c>
      <c r="H44">
        <v>1.0599000000000001E-2</v>
      </c>
      <c r="I44">
        <v>1.083803E-2</v>
      </c>
      <c r="J44" s="2">
        <v>1461</v>
      </c>
      <c r="K44" s="2">
        <v>1</v>
      </c>
      <c r="L44" s="2">
        <v>28993.989000000001</v>
      </c>
      <c r="M44">
        <f t="shared" si="1"/>
        <v>12</v>
      </c>
      <c r="N44">
        <f t="shared" si="0"/>
        <v>3458.4830000000002</v>
      </c>
    </row>
    <row r="45" spans="1:14" x14ac:dyDescent="0.2">
      <c r="A45" t="s">
        <v>11</v>
      </c>
      <c r="B45" s="10" t="s">
        <v>56</v>
      </c>
      <c r="C45">
        <v>5</v>
      </c>
      <c r="D45">
        <v>4</v>
      </c>
      <c r="E45">
        <v>40</v>
      </c>
      <c r="F45">
        <v>1000</v>
      </c>
      <c r="G45">
        <v>39907</v>
      </c>
      <c r="H45">
        <v>9.2087000000000002E-2</v>
      </c>
      <c r="I45">
        <v>9.2258930000000003E-2</v>
      </c>
      <c r="J45" s="14">
        <v>14330</v>
      </c>
      <c r="K45" s="14">
        <v>1</v>
      </c>
      <c r="L45" s="14">
        <v>269092.35499999998</v>
      </c>
      <c r="M45">
        <f t="shared" si="1"/>
        <v>84</v>
      </c>
      <c r="N45">
        <f t="shared" si="0"/>
        <v>14525.138999999996</v>
      </c>
    </row>
    <row r="46" spans="1:14" x14ac:dyDescent="0.2">
      <c r="A46" t="s">
        <v>11</v>
      </c>
      <c r="B46" s="10" t="s">
        <v>57</v>
      </c>
      <c r="C46">
        <v>5</v>
      </c>
      <c r="D46">
        <v>4</v>
      </c>
      <c r="E46">
        <v>40</v>
      </c>
      <c r="F46">
        <v>10000</v>
      </c>
      <c r="G46">
        <v>396791</v>
      </c>
      <c r="H46">
        <v>0.94772500000000004</v>
      </c>
      <c r="I46">
        <v>0.95472908000000001</v>
      </c>
      <c r="J46" s="4">
        <v>140173</v>
      </c>
      <c r="K46" s="4">
        <v>1</v>
      </c>
      <c r="L46" s="4">
        <v>2955897.6979999999</v>
      </c>
      <c r="M46">
        <f t="shared" si="1"/>
        <v>218</v>
      </c>
      <c r="N46">
        <f t="shared" si="0"/>
        <v>-331704.71500000032</v>
      </c>
    </row>
    <row r="47" spans="1:14" x14ac:dyDescent="0.2">
      <c r="A47" t="s">
        <v>11</v>
      </c>
      <c r="B47" s="10" t="s">
        <v>58</v>
      </c>
      <c r="C47">
        <v>5</v>
      </c>
      <c r="D47">
        <v>4</v>
      </c>
      <c r="E47">
        <v>80</v>
      </c>
      <c r="F47">
        <v>100</v>
      </c>
      <c r="G47">
        <v>7916</v>
      </c>
      <c r="H47">
        <v>2.1644E-2</v>
      </c>
      <c r="I47">
        <v>2.2154090000000001E-2</v>
      </c>
      <c r="J47" s="13">
        <v>2773</v>
      </c>
      <c r="K47" s="13">
        <v>1</v>
      </c>
      <c r="L47" s="13">
        <v>261753.77900000001</v>
      </c>
      <c r="M47">
        <f t="shared" si="1"/>
        <v>52</v>
      </c>
      <c r="N47">
        <f t="shared" si="0"/>
        <v>-19070.433999999979</v>
      </c>
    </row>
    <row r="48" spans="1:14" x14ac:dyDescent="0.2">
      <c r="A48" t="s">
        <v>11</v>
      </c>
      <c r="B48" s="10" t="s">
        <v>59</v>
      </c>
      <c r="C48">
        <v>5</v>
      </c>
      <c r="D48">
        <v>4</v>
      </c>
      <c r="E48">
        <v>80</v>
      </c>
      <c r="F48">
        <v>1000</v>
      </c>
      <c r="G48">
        <v>78657</v>
      </c>
      <c r="H48">
        <v>0.18748200000000001</v>
      </c>
      <c r="I48">
        <v>0.18853974000000001</v>
      </c>
      <c r="J48" s="3">
        <v>26530</v>
      </c>
      <c r="K48" s="3">
        <v>1</v>
      </c>
      <c r="L48" s="3">
        <v>2620800.5060000001</v>
      </c>
      <c r="M48">
        <f t="shared" si="1"/>
        <v>106</v>
      </c>
      <c r="N48">
        <f t="shared" si="0"/>
        <v>171274.98100000015</v>
      </c>
    </row>
    <row r="49" spans="1:14" x14ac:dyDescent="0.2">
      <c r="A49" t="s">
        <v>11</v>
      </c>
      <c r="B49" s="10" t="s">
        <v>60</v>
      </c>
      <c r="C49">
        <v>5</v>
      </c>
      <c r="D49">
        <v>4</v>
      </c>
      <c r="E49">
        <v>80</v>
      </c>
      <c r="F49">
        <v>10000</v>
      </c>
      <c r="G49">
        <v>791251</v>
      </c>
      <c r="H49">
        <v>1.9845900000000001</v>
      </c>
      <c r="I49">
        <v>2.0390899199999999</v>
      </c>
      <c r="J49" s="1">
        <v>263756</v>
      </c>
      <c r="K49" s="1">
        <v>1</v>
      </c>
      <c r="L49" s="1">
        <v>33568826.344999999</v>
      </c>
      <c r="M49">
        <f t="shared" si="1"/>
        <v>379</v>
      </c>
      <c r="N49">
        <f t="shared" si="0"/>
        <v>-717649.34499999881</v>
      </c>
    </row>
    <row r="50" spans="1:14" x14ac:dyDescent="0.2">
      <c r="A50" t="s">
        <v>11</v>
      </c>
      <c r="B50" s="10" t="s">
        <v>61</v>
      </c>
      <c r="C50">
        <v>9</v>
      </c>
      <c r="D50">
        <v>8</v>
      </c>
      <c r="E50">
        <v>10</v>
      </c>
      <c r="F50">
        <v>100</v>
      </c>
      <c r="G50">
        <v>997</v>
      </c>
      <c r="H50">
        <v>3.4970000000000001E-3</v>
      </c>
      <c r="I50">
        <v>3.4968899999999999E-3</v>
      </c>
      <c r="J50">
        <v>362</v>
      </c>
      <c r="K50">
        <v>4</v>
      </c>
      <c r="L50" s="11">
        <v>333.63400000000001</v>
      </c>
      <c r="M50">
        <f t="shared" si="1"/>
        <v>5</v>
      </c>
      <c r="N50">
        <f t="shared" si="0"/>
        <v>52.793000000000006</v>
      </c>
    </row>
    <row r="51" spans="1:14" x14ac:dyDescent="0.2">
      <c r="A51" t="s">
        <v>11</v>
      </c>
      <c r="B51" s="10" t="s">
        <v>62</v>
      </c>
      <c r="C51">
        <v>9</v>
      </c>
      <c r="D51">
        <v>8</v>
      </c>
      <c r="E51">
        <v>10</v>
      </c>
      <c r="F51">
        <v>1000</v>
      </c>
      <c r="G51">
        <v>9997</v>
      </c>
      <c r="H51">
        <v>2.6551999999999999E-2</v>
      </c>
      <c r="I51">
        <v>2.656698E-2</v>
      </c>
      <c r="J51" s="7">
        <v>3398</v>
      </c>
      <c r="K51" s="7">
        <v>3</v>
      </c>
      <c r="L51" s="7">
        <v>2938.3180000000002</v>
      </c>
      <c r="M51">
        <f t="shared" si="1"/>
        <v>31</v>
      </c>
      <c r="N51">
        <f t="shared" si="0"/>
        <v>562.21100000000024</v>
      </c>
    </row>
    <row r="52" spans="1:14" x14ac:dyDescent="0.2">
      <c r="A52" t="s">
        <v>11</v>
      </c>
      <c r="B52" s="10" t="s">
        <v>63</v>
      </c>
      <c r="C52">
        <v>9</v>
      </c>
      <c r="D52">
        <v>8</v>
      </c>
      <c r="E52">
        <v>10</v>
      </c>
      <c r="F52">
        <v>10000</v>
      </c>
      <c r="G52">
        <v>99600</v>
      </c>
      <c r="H52">
        <v>0.266816</v>
      </c>
      <c r="I52">
        <v>0.26821113000000002</v>
      </c>
      <c r="J52" s="16">
        <v>33372</v>
      </c>
      <c r="K52" s="16">
        <v>2</v>
      </c>
      <c r="L52" s="16">
        <v>24548.451000000001</v>
      </c>
      <c r="M52">
        <f t="shared" si="1"/>
        <v>40</v>
      </c>
      <c r="N52">
        <f t="shared" si="0"/>
        <v>-32.717000000000553</v>
      </c>
    </row>
    <row r="53" spans="1:14" x14ac:dyDescent="0.2">
      <c r="A53" t="s">
        <v>11</v>
      </c>
      <c r="B53" s="10" t="s">
        <v>64</v>
      </c>
      <c r="C53">
        <v>9</v>
      </c>
      <c r="D53">
        <v>8</v>
      </c>
      <c r="E53">
        <v>20</v>
      </c>
      <c r="F53">
        <v>100</v>
      </c>
      <c r="G53">
        <v>1987</v>
      </c>
      <c r="H53">
        <v>5.9230000000000003E-3</v>
      </c>
      <c r="I53">
        <v>5.9766799999999998E-3</v>
      </c>
      <c r="J53" s="5">
        <v>735</v>
      </c>
      <c r="K53" s="5">
        <v>1</v>
      </c>
      <c r="L53" s="5">
        <v>3408.1559999999999</v>
      </c>
      <c r="M53">
        <f t="shared" si="1"/>
        <v>22</v>
      </c>
      <c r="N53">
        <f t="shared" si="0"/>
        <v>207.34699999999975</v>
      </c>
    </row>
    <row r="54" spans="1:14" x14ac:dyDescent="0.2">
      <c r="A54" t="s">
        <v>11</v>
      </c>
      <c r="B54" s="10" t="s">
        <v>65</v>
      </c>
      <c r="C54">
        <v>9</v>
      </c>
      <c r="D54">
        <v>8</v>
      </c>
      <c r="E54">
        <v>20</v>
      </c>
      <c r="F54">
        <v>1000</v>
      </c>
      <c r="G54">
        <v>19983</v>
      </c>
      <c r="H54">
        <v>5.0900000000000001E-2</v>
      </c>
      <c r="I54">
        <v>5.166602E-2</v>
      </c>
      <c r="J54" s="6">
        <v>7126</v>
      </c>
      <c r="K54" s="6">
        <v>1</v>
      </c>
      <c r="L54" s="6">
        <v>25231.822</v>
      </c>
      <c r="M54">
        <f t="shared" si="1"/>
        <v>58</v>
      </c>
      <c r="N54">
        <f t="shared" si="0"/>
        <v>-2010.5400000000009</v>
      </c>
    </row>
    <row r="55" spans="1:14" x14ac:dyDescent="0.2">
      <c r="A55" t="s">
        <v>11</v>
      </c>
      <c r="B55" s="10" t="s">
        <v>66</v>
      </c>
      <c r="C55">
        <v>9</v>
      </c>
      <c r="D55">
        <v>8</v>
      </c>
      <c r="E55">
        <v>20</v>
      </c>
      <c r="F55">
        <v>10000</v>
      </c>
      <c r="G55">
        <v>198677</v>
      </c>
      <c r="H55">
        <v>0.490371</v>
      </c>
      <c r="I55">
        <v>0.49296688999999999</v>
      </c>
      <c r="J55" s="15">
        <v>69610</v>
      </c>
      <c r="K55" s="15">
        <v>1</v>
      </c>
      <c r="L55" s="15">
        <v>286165.16700000002</v>
      </c>
      <c r="M55">
        <f t="shared" si="1"/>
        <v>121</v>
      </c>
      <c r="N55">
        <f t="shared" si="0"/>
        <v>-29602.646000000008</v>
      </c>
    </row>
    <row r="56" spans="1:14" x14ac:dyDescent="0.2">
      <c r="A56" t="s">
        <v>11</v>
      </c>
      <c r="B56" s="10" t="s">
        <v>67</v>
      </c>
      <c r="C56">
        <v>9</v>
      </c>
      <c r="D56">
        <v>8</v>
      </c>
      <c r="E56">
        <v>40</v>
      </c>
      <c r="F56">
        <v>100</v>
      </c>
      <c r="G56">
        <v>3965</v>
      </c>
      <c r="H56">
        <v>1.1346999999999999E-2</v>
      </c>
      <c r="I56">
        <v>1.188374E-2</v>
      </c>
      <c r="J56" s="2">
        <v>1508</v>
      </c>
      <c r="K56" s="2">
        <v>1</v>
      </c>
      <c r="L56" s="2">
        <v>31647.780999999999</v>
      </c>
      <c r="M56">
        <f t="shared" si="1"/>
        <v>47</v>
      </c>
      <c r="N56">
        <f t="shared" si="0"/>
        <v>2653.7919999999976</v>
      </c>
    </row>
    <row r="57" spans="1:14" x14ac:dyDescent="0.2">
      <c r="A57" t="s">
        <v>11</v>
      </c>
      <c r="B57" s="10" t="s">
        <v>68</v>
      </c>
      <c r="C57">
        <v>9</v>
      </c>
      <c r="D57">
        <v>8</v>
      </c>
      <c r="E57">
        <v>40</v>
      </c>
      <c r="F57">
        <v>1000</v>
      </c>
      <c r="G57">
        <v>39907</v>
      </c>
      <c r="H57">
        <v>9.1229000000000005E-2</v>
      </c>
      <c r="I57">
        <v>9.1556070000000003E-2</v>
      </c>
      <c r="J57" s="14">
        <v>14442</v>
      </c>
      <c r="K57" s="14">
        <v>1</v>
      </c>
      <c r="L57" s="14">
        <v>264146.01400000002</v>
      </c>
      <c r="M57">
        <f t="shared" si="1"/>
        <v>112</v>
      </c>
      <c r="N57">
        <f t="shared" si="0"/>
        <v>-4946.3409999999567</v>
      </c>
    </row>
    <row r="58" spans="1:14" x14ac:dyDescent="0.2">
      <c r="A58" t="s">
        <v>11</v>
      </c>
      <c r="B58" s="10" t="s">
        <v>69</v>
      </c>
      <c r="C58">
        <v>9</v>
      </c>
      <c r="D58">
        <v>8</v>
      </c>
      <c r="E58">
        <v>40</v>
      </c>
      <c r="F58">
        <v>10000</v>
      </c>
      <c r="G58">
        <v>396791</v>
      </c>
      <c r="H58">
        <v>0.91834300000000002</v>
      </c>
      <c r="I58">
        <v>0.92203212000000001</v>
      </c>
      <c r="J58" s="4">
        <v>140425</v>
      </c>
      <c r="K58" s="4">
        <v>1</v>
      </c>
      <c r="L58" s="4">
        <v>2942548.9959999998</v>
      </c>
      <c r="M58">
        <f t="shared" si="1"/>
        <v>252</v>
      </c>
      <c r="N58">
        <f t="shared" si="0"/>
        <v>-13348.702000000048</v>
      </c>
    </row>
    <row r="59" spans="1:14" x14ac:dyDescent="0.2">
      <c r="A59" t="s">
        <v>11</v>
      </c>
      <c r="B59" s="10" t="s">
        <v>70</v>
      </c>
      <c r="C59">
        <v>9</v>
      </c>
      <c r="D59">
        <v>8</v>
      </c>
      <c r="E59">
        <v>80</v>
      </c>
      <c r="F59">
        <v>100</v>
      </c>
      <c r="G59">
        <v>7916</v>
      </c>
      <c r="H59">
        <v>2.2168E-2</v>
      </c>
      <c r="I59">
        <v>2.246714E-2</v>
      </c>
      <c r="J59" s="13">
        <v>2848</v>
      </c>
      <c r="K59" s="13">
        <v>1</v>
      </c>
      <c r="L59" s="13">
        <v>292444.967</v>
      </c>
      <c r="M59">
        <f t="shared" si="1"/>
        <v>75</v>
      </c>
      <c r="N59">
        <f t="shared" si="0"/>
        <v>30691.187999999995</v>
      </c>
    </row>
    <row r="60" spans="1:14" x14ac:dyDescent="0.2">
      <c r="A60" t="s">
        <v>11</v>
      </c>
      <c r="B60" s="10" t="s">
        <v>71</v>
      </c>
      <c r="C60">
        <v>9</v>
      </c>
      <c r="D60">
        <v>8</v>
      </c>
      <c r="E60">
        <v>80</v>
      </c>
      <c r="F60">
        <v>1000</v>
      </c>
      <c r="G60">
        <v>78657</v>
      </c>
      <c r="H60">
        <v>0.181587</v>
      </c>
      <c r="I60">
        <v>0.18158102000000001</v>
      </c>
      <c r="J60" s="3">
        <v>26722</v>
      </c>
      <c r="K60" s="3">
        <v>1</v>
      </c>
      <c r="L60" s="3">
        <v>2727788</v>
      </c>
      <c r="M60">
        <f t="shared" si="1"/>
        <v>192</v>
      </c>
      <c r="N60">
        <f t="shared" si="0"/>
        <v>106987.49399999995</v>
      </c>
    </row>
    <row r="61" spans="1:14" x14ac:dyDescent="0.2">
      <c r="A61" t="s">
        <v>11</v>
      </c>
      <c r="B61" s="10" t="s">
        <v>72</v>
      </c>
      <c r="C61">
        <v>9</v>
      </c>
      <c r="D61">
        <v>8</v>
      </c>
      <c r="E61">
        <v>80</v>
      </c>
      <c r="F61">
        <v>10000</v>
      </c>
      <c r="G61">
        <v>791251</v>
      </c>
      <c r="H61">
        <v>1.8331789999999999</v>
      </c>
      <c r="I61">
        <v>1.84392405</v>
      </c>
      <c r="J61" s="1">
        <v>264187</v>
      </c>
      <c r="K61" s="1">
        <v>1</v>
      </c>
      <c r="L61" s="12">
        <v>29569355.620999999</v>
      </c>
      <c r="M61">
        <f t="shared" si="1"/>
        <v>431</v>
      </c>
      <c r="N61">
        <f t="shared" si="0"/>
        <v>-3999470.7239999995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H1" sqref="H1"/>
    </sheetView>
  </sheetViews>
  <sheetFormatPr baseColWidth="10" defaultRowHeight="16" x14ac:dyDescent="0.2"/>
  <cols>
    <col min="1" max="1" width="16.5" customWidth="1"/>
    <col min="3" max="3" width="15.33203125" customWidth="1"/>
    <col min="6" max="6" width="14.1640625" customWidth="1"/>
    <col min="8" max="8" width="13.6640625" customWidth="1"/>
  </cols>
  <sheetData>
    <row r="1" spans="1:13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110</v>
      </c>
      <c r="M1" t="s">
        <v>111</v>
      </c>
    </row>
    <row r="2" spans="1:13" x14ac:dyDescent="0.2">
      <c r="A2" t="s">
        <v>11</v>
      </c>
      <c r="B2">
        <v>1</v>
      </c>
      <c r="C2">
        <v>0</v>
      </c>
      <c r="D2">
        <v>10</v>
      </c>
      <c r="E2">
        <v>100</v>
      </c>
      <c r="F2">
        <v>997</v>
      </c>
      <c r="G2">
        <v>3.5669999999999999E-3</v>
      </c>
      <c r="H2">
        <v>3.6971600000000001E-3</v>
      </c>
      <c r="I2">
        <v>346</v>
      </c>
      <c r="J2">
        <v>2</v>
      </c>
      <c r="K2">
        <v>188.08699999999999</v>
      </c>
      <c r="L2">
        <v>0</v>
      </c>
      <c r="M2">
        <v>0</v>
      </c>
    </row>
    <row r="3" spans="1:13" x14ac:dyDescent="0.2">
      <c r="A3" t="s">
        <v>11</v>
      </c>
      <c r="B3">
        <v>1</v>
      </c>
      <c r="C3">
        <v>0</v>
      </c>
      <c r="D3">
        <v>10</v>
      </c>
      <c r="E3">
        <v>1000</v>
      </c>
      <c r="F3">
        <v>9997</v>
      </c>
      <c r="G3">
        <v>2.6887999999999999E-2</v>
      </c>
      <c r="H3">
        <v>2.716184E-2</v>
      </c>
      <c r="I3">
        <v>3357</v>
      </c>
      <c r="J3">
        <v>3</v>
      </c>
      <c r="K3" s="6">
        <v>2655.9209999999998</v>
      </c>
      <c r="L3">
        <v>0</v>
      </c>
      <c r="M3">
        <v>0</v>
      </c>
    </row>
    <row r="4" spans="1:13" x14ac:dyDescent="0.2">
      <c r="A4" t="s">
        <v>11</v>
      </c>
      <c r="B4">
        <v>1</v>
      </c>
      <c r="C4">
        <v>0</v>
      </c>
      <c r="D4">
        <v>10</v>
      </c>
      <c r="E4">
        <v>10000</v>
      </c>
      <c r="F4">
        <v>99600</v>
      </c>
      <c r="G4">
        <v>0.32880700000000002</v>
      </c>
      <c r="H4">
        <v>0.41839099000000002</v>
      </c>
      <c r="I4">
        <v>33266</v>
      </c>
      <c r="J4">
        <v>2</v>
      </c>
      <c r="K4" s="7">
        <v>34746.883999999998</v>
      </c>
      <c r="L4">
        <v>0</v>
      </c>
      <c r="M4">
        <v>0</v>
      </c>
    </row>
    <row r="5" spans="1:13" x14ac:dyDescent="0.2">
      <c r="A5" t="s">
        <v>11</v>
      </c>
      <c r="B5">
        <v>1</v>
      </c>
      <c r="C5">
        <v>0</v>
      </c>
      <c r="D5">
        <v>20</v>
      </c>
      <c r="E5">
        <v>100</v>
      </c>
      <c r="F5">
        <v>1987</v>
      </c>
      <c r="G5">
        <v>5.8729999999999997E-3</v>
      </c>
      <c r="H5">
        <v>6.9060299999999996E-3</v>
      </c>
      <c r="I5">
        <v>685</v>
      </c>
      <c r="J5">
        <v>2</v>
      </c>
      <c r="K5" s="8">
        <v>2551.1529999999998</v>
      </c>
      <c r="L5">
        <v>0</v>
      </c>
      <c r="M5">
        <v>0</v>
      </c>
    </row>
    <row r="6" spans="1:13" x14ac:dyDescent="0.2">
      <c r="A6" t="s">
        <v>11</v>
      </c>
      <c r="B6">
        <v>1</v>
      </c>
      <c r="C6">
        <v>0</v>
      </c>
      <c r="D6">
        <v>20</v>
      </c>
      <c r="E6">
        <v>1000</v>
      </c>
      <c r="F6">
        <v>19983</v>
      </c>
      <c r="G6">
        <v>4.9492000000000001E-2</v>
      </c>
      <c r="H6">
        <v>5.05631E-2</v>
      </c>
      <c r="I6">
        <v>6991</v>
      </c>
      <c r="J6">
        <v>1</v>
      </c>
      <c r="K6" s="5">
        <v>29482.580999999998</v>
      </c>
      <c r="L6">
        <v>0</v>
      </c>
      <c r="M6">
        <v>0</v>
      </c>
    </row>
    <row r="7" spans="1:13" x14ac:dyDescent="0.2">
      <c r="A7" t="s">
        <v>11</v>
      </c>
      <c r="B7">
        <v>1</v>
      </c>
      <c r="C7">
        <v>0</v>
      </c>
      <c r="D7">
        <v>20</v>
      </c>
      <c r="E7">
        <v>10000</v>
      </c>
      <c r="F7">
        <v>198677</v>
      </c>
      <c r="G7">
        <v>0.50287000000000004</v>
      </c>
      <c r="H7">
        <v>0.51095389999999996</v>
      </c>
      <c r="I7">
        <v>69332</v>
      </c>
      <c r="J7">
        <v>1</v>
      </c>
      <c r="K7" s="4">
        <v>390118.52399999998</v>
      </c>
      <c r="L7">
        <v>0</v>
      </c>
      <c r="M7">
        <v>0</v>
      </c>
    </row>
    <row r="8" spans="1:13" x14ac:dyDescent="0.2">
      <c r="A8" t="s">
        <v>11</v>
      </c>
      <c r="B8">
        <v>1</v>
      </c>
      <c r="C8">
        <v>0</v>
      </c>
      <c r="D8">
        <v>40</v>
      </c>
      <c r="E8">
        <v>100</v>
      </c>
      <c r="F8">
        <v>3965</v>
      </c>
      <c r="G8">
        <v>1.1343000000000001E-2</v>
      </c>
      <c r="H8">
        <v>1.212907E-2</v>
      </c>
      <c r="I8">
        <v>1412</v>
      </c>
      <c r="J8">
        <v>1</v>
      </c>
      <c r="K8" s="2">
        <v>18695.815999999999</v>
      </c>
      <c r="L8">
        <v>0</v>
      </c>
      <c r="M8">
        <v>0</v>
      </c>
    </row>
    <row r="9" spans="1:13" x14ac:dyDescent="0.2">
      <c r="A9" t="s">
        <v>11</v>
      </c>
      <c r="B9">
        <v>1</v>
      </c>
      <c r="C9">
        <v>0</v>
      </c>
      <c r="D9">
        <v>40</v>
      </c>
      <c r="E9">
        <v>1000</v>
      </c>
      <c r="F9">
        <v>39907</v>
      </c>
      <c r="G9">
        <v>9.2376E-2</v>
      </c>
      <c r="H9">
        <v>9.4183920000000004E-2</v>
      </c>
      <c r="I9">
        <v>14132</v>
      </c>
      <c r="J9">
        <v>1</v>
      </c>
      <c r="K9" s="3">
        <v>278214.19300000003</v>
      </c>
      <c r="L9">
        <v>0</v>
      </c>
      <c r="M9">
        <v>0</v>
      </c>
    </row>
    <row r="10" spans="1:13" x14ac:dyDescent="0.2">
      <c r="A10" t="s">
        <v>11</v>
      </c>
      <c r="B10">
        <v>1</v>
      </c>
      <c r="C10">
        <v>0</v>
      </c>
      <c r="D10">
        <v>40</v>
      </c>
      <c r="E10">
        <v>10000</v>
      </c>
      <c r="F10">
        <v>396791</v>
      </c>
      <c r="G10">
        <v>0.96195600000000003</v>
      </c>
      <c r="H10">
        <v>0.98200273999999999</v>
      </c>
      <c r="I10">
        <v>139786</v>
      </c>
      <c r="J10">
        <v>1</v>
      </c>
      <c r="K10" s="1">
        <v>45338656.719999999</v>
      </c>
      <c r="L10">
        <v>0</v>
      </c>
      <c r="M10">
        <v>0</v>
      </c>
    </row>
    <row r="11" spans="1:13" x14ac:dyDescent="0.2">
      <c r="A11" t="s">
        <v>11</v>
      </c>
      <c r="B11">
        <v>2</v>
      </c>
      <c r="C11">
        <v>1</v>
      </c>
      <c r="D11">
        <v>10</v>
      </c>
      <c r="E11">
        <v>100</v>
      </c>
      <c r="F11">
        <v>997</v>
      </c>
      <c r="G11">
        <v>3.8660000000000001E-3</v>
      </c>
      <c r="H11">
        <v>4.0888799999999996E-3</v>
      </c>
      <c r="I11">
        <v>348</v>
      </c>
      <c r="J11">
        <v>1</v>
      </c>
      <c r="K11">
        <v>236.649</v>
      </c>
      <c r="L11">
        <f>I11-I2</f>
        <v>2</v>
      </c>
      <c r="M11">
        <f>K11-K2</f>
        <v>48.562000000000012</v>
      </c>
    </row>
    <row r="12" spans="1:13" x14ac:dyDescent="0.2">
      <c r="A12" t="s">
        <v>11</v>
      </c>
      <c r="B12">
        <v>2</v>
      </c>
      <c r="C12">
        <v>1</v>
      </c>
      <c r="D12">
        <v>10</v>
      </c>
      <c r="E12">
        <v>1000</v>
      </c>
      <c r="F12">
        <v>9997</v>
      </c>
      <c r="G12">
        <v>2.8990999999999999E-2</v>
      </c>
      <c r="H12">
        <v>2.908635E-2</v>
      </c>
      <c r="I12">
        <v>3358</v>
      </c>
      <c r="J12">
        <v>2</v>
      </c>
      <c r="K12" s="6">
        <v>1878.2190000000001</v>
      </c>
      <c r="L12">
        <f t="shared" ref="L12:L73" si="0">I12-I3</f>
        <v>1</v>
      </c>
      <c r="M12">
        <f t="shared" ref="M12:M73" si="1">K12-K3</f>
        <v>-777.70199999999977</v>
      </c>
    </row>
    <row r="13" spans="1:13" x14ac:dyDescent="0.2">
      <c r="A13" t="s">
        <v>11</v>
      </c>
      <c r="B13">
        <v>2</v>
      </c>
      <c r="C13">
        <v>1</v>
      </c>
      <c r="D13">
        <v>10</v>
      </c>
      <c r="E13">
        <v>10000</v>
      </c>
      <c r="F13">
        <v>99600</v>
      </c>
      <c r="G13">
        <v>0.27939399999999998</v>
      </c>
      <c r="H13">
        <v>0.28424788000000001</v>
      </c>
      <c r="I13">
        <v>33279</v>
      </c>
      <c r="J13">
        <v>2</v>
      </c>
      <c r="K13" s="7">
        <v>33028.516000000003</v>
      </c>
      <c r="L13">
        <f t="shared" si="0"/>
        <v>13</v>
      </c>
      <c r="M13">
        <f t="shared" si="1"/>
        <v>-1718.3679999999949</v>
      </c>
    </row>
    <row r="14" spans="1:13" x14ac:dyDescent="0.2">
      <c r="A14" t="s">
        <v>11</v>
      </c>
      <c r="B14">
        <v>2</v>
      </c>
      <c r="C14">
        <v>1</v>
      </c>
      <c r="D14">
        <v>20</v>
      </c>
      <c r="E14">
        <v>100</v>
      </c>
      <c r="F14">
        <v>1987</v>
      </c>
      <c r="G14">
        <v>7.6499999999999997E-3</v>
      </c>
      <c r="H14">
        <v>8.3968600000000008E-3</v>
      </c>
      <c r="I14">
        <v>693</v>
      </c>
      <c r="J14">
        <v>1</v>
      </c>
      <c r="K14" s="8">
        <v>2986.0479999999998</v>
      </c>
      <c r="L14">
        <f t="shared" si="0"/>
        <v>8</v>
      </c>
      <c r="M14">
        <f t="shared" si="1"/>
        <v>434.89499999999998</v>
      </c>
    </row>
    <row r="15" spans="1:13" x14ac:dyDescent="0.2">
      <c r="A15" t="s">
        <v>11</v>
      </c>
      <c r="B15">
        <v>2</v>
      </c>
      <c r="C15">
        <v>1</v>
      </c>
      <c r="D15">
        <v>20</v>
      </c>
      <c r="E15">
        <v>1000</v>
      </c>
      <c r="F15">
        <v>19983</v>
      </c>
      <c r="G15">
        <v>5.1749000000000003E-2</v>
      </c>
      <c r="H15">
        <v>5.3464890000000001E-2</v>
      </c>
      <c r="I15">
        <v>7011</v>
      </c>
      <c r="J15">
        <v>1</v>
      </c>
      <c r="K15" s="5">
        <v>28005.481</v>
      </c>
      <c r="L15">
        <f t="shared" si="0"/>
        <v>20</v>
      </c>
      <c r="M15">
        <f t="shared" si="1"/>
        <v>-1477.0999999999985</v>
      </c>
    </row>
    <row r="16" spans="1:13" x14ac:dyDescent="0.2">
      <c r="A16" t="s">
        <v>11</v>
      </c>
      <c r="B16">
        <v>2</v>
      </c>
      <c r="C16">
        <v>1</v>
      </c>
      <c r="D16">
        <v>20</v>
      </c>
      <c r="E16">
        <v>10000</v>
      </c>
      <c r="F16">
        <v>198677</v>
      </c>
      <c r="G16">
        <v>0.51940500000000001</v>
      </c>
      <c r="H16">
        <v>0.53595113999999999</v>
      </c>
      <c r="I16">
        <v>69392</v>
      </c>
      <c r="J16">
        <v>2</v>
      </c>
      <c r="K16" s="4">
        <v>357179.10200000001</v>
      </c>
      <c r="L16">
        <f t="shared" si="0"/>
        <v>60</v>
      </c>
      <c r="M16">
        <f t="shared" si="1"/>
        <v>-32939.421999999962</v>
      </c>
    </row>
    <row r="17" spans="1:13" x14ac:dyDescent="0.2">
      <c r="A17" t="s">
        <v>11</v>
      </c>
      <c r="B17">
        <v>2</v>
      </c>
      <c r="C17">
        <v>1</v>
      </c>
      <c r="D17">
        <v>40</v>
      </c>
      <c r="E17">
        <v>100</v>
      </c>
      <c r="F17">
        <v>3965</v>
      </c>
      <c r="G17">
        <v>1.0441000000000001E-2</v>
      </c>
      <c r="H17">
        <v>1.058602E-2</v>
      </c>
      <c r="I17">
        <v>1420</v>
      </c>
      <c r="J17">
        <v>1</v>
      </c>
      <c r="K17" s="2">
        <v>21790.026000000002</v>
      </c>
      <c r="L17">
        <f t="shared" si="0"/>
        <v>8</v>
      </c>
      <c r="M17">
        <f t="shared" si="1"/>
        <v>3094.2100000000028</v>
      </c>
    </row>
    <row r="18" spans="1:13" x14ac:dyDescent="0.2">
      <c r="A18" t="s">
        <v>11</v>
      </c>
      <c r="B18">
        <v>2</v>
      </c>
      <c r="C18">
        <v>1</v>
      </c>
      <c r="D18">
        <v>40</v>
      </c>
      <c r="E18">
        <v>1000</v>
      </c>
      <c r="F18">
        <v>39907</v>
      </c>
      <c r="G18">
        <v>9.9750000000000005E-2</v>
      </c>
      <c r="H18">
        <v>0.10255694</v>
      </c>
      <c r="I18">
        <v>14174</v>
      </c>
      <c r="J18">
        <v>1</v>
      </c>
      <c r="K18" s="3">
        <v>289712.07900000003</v>
      </c>
      <c r="L18">
        <f t="shared" si="0"/>
        <v>42</v>
      </c>
      <c r="M18">
        <f t="shared" si="1"/>
        <v>11497.885999999999</v>
      </c>
    </row>
    <row r="19" spans="1:13" x14ac:dyDescent="0.2">
      <c r="A19" t="s">
        <v>11</v>
      </c>
      <c r="B19">
        <v>2</v>
      </c>
      <c r="C19">
        <v>1</v>
      </c>
      <c r="D19">
        <v>40</v>
      </c>
      <c r="E19">
        <v>10000</v>
      </c>
      <c r="F19">
        <v>396791</v>
      </c>
      <c r="G19">
        <v>0.93147400000000002</v>
      </c>
      <c r="H19">
        <v>0.93528317999999999</v>
      </c>
      <c r="I19">
        <v>139940</v>
      </c>
      <c r="J19">
        <v>1</v>
      </c>
      <c r="K19" s="1">
        <v>3905536.0529999998</v>
      </c>
      <c r="L19">
        <f t="shared" si="0"/>
        <v>154</v>
      </c>
      <c r="M19">
        <f t="shared" si="1"/>
        <v>-41433120.666999996</v>
      </c>
    </row>
    <row r="20" spans="1:13" x14ac:dyDescent="0.2">
      <c r="A20" t="s">
        <v>11</v>
      </c>
      <c r="B20">
        <v>3</v>
      </c>
      <c r="C20">
        <v>2</v>
      </c>
      <c r="D20">
        <v>10</v>
      </c>
      <c r="E20">
        <v>100</v>
      </c>
      <c r="F20">
        <v>997</v>
      </c>
      <c r="G20">
        <v>5.7159999999999997E-3</v>
      </c>
      <c r="H20">
        <v>5.9258899999999996E-3</v>
      </c>
      <c r="I20">
        <v>354</v>
      </c>
      <c r="J20">
        <v>1</v>
      </c>
      <c r="K20">
        <v>279.27300000000002</v>
      </c>
      <c r="L20">
        <f t="shared" si="0"/>
        <v>6</v>
      </c>
      <c r="M20">
        <f t="shared" si="1"/>
        <v>42.624000000000024</v>
      </c>
    </row>
    <row r="21" spans="1:13" x14ac:dyDescent="0.2">
      <c r="A21" t="s">
        <v>11</v>
      </c>
      <c r="B21">
        <v>3</v>
      </c>
      <c r="C21">
        <v>2</v>
      </c>
      <c r="D21">
        <v>10</v>
      </c>
      <c r="E21">
        <v>1000</v>
      </c>
      <c r="F21">
        <v>9997</v>
      </c>
      <c r="G21">
        <v>2.6468999999999999E-2</v>
      </c>
      <c r="H21">
        <v>2.6546E-2</v>
      </c>
      <c r="I21">
        <v>3372</v>
      </c>
      <c r="J21">
        <v>4</v>
      </c>
      <c r="K21" s="6">
        <v>1964.9770000000001</v>
      </c>
      <c r="L21">
        <f t="shared" si="0"/>
        <v>14</v>
      </c>
      <c r="M21">
        <f t="shared" si="1"/>
        <v>86.758000000000038</v>
      </c>
    </row>
    <row r="22" spans="1:13" x14ac:dyDescent="0.2">
      <c r="A22" t="s">
        <v>11</v>
      </c>
      <c r="B22">
        <v>3</v>
      </c>
      <c r="C22">
        <v>2</v>
      </c>
      <c r="D22">
        <v>10</v>
      </c>
      <c r="E22">
        <v>10000</v>
      </c>
      <c r="F22">
        <v>99600</v>
      </c>
      <c r="G22">
        <v>0.28694700000000001</v>
      </c>
      <c r="H22">
        <v>0.30184817000000003</v>
      </c>
      <c r="I22">
        <v>33303</v>
      </c>
      <c r="J22">
        <v>2</v>
      </c>
      <c r="K22" s="7">
        <v>20333.065999999999</v>
      </c>
      <c r="L22">
        <f t="shared" si="0"/>
        <v>24</v>
      </c>
      <c r="M22">
        <f t="shared" si="1"/>
        <v>-12695.450000000004</v>
      </c>
    </row>
    <row r="23" spans="1:13" x14ac:dyDescent="0.2">
      <c r="A23" t="s">
        <v>11</v>
      </c>
      <c r="B23">
        <v>3</v>
      </c>
      <c r="C23">
        <v>2</v>
      </c>
      <c r="D23">
        <v>20</v>
      </c>
      <c r="E23">
        <v>100</v>
      </c>
      <c r="F23">
        <v>1987</v>
      </c>
      <c r="G23">
        <v>8.6650000000000008E-3</v>
      </c>
      <c r="H23">
        <v>9.4437600000000007E-3</v>
      </c>
      <c r="I23">
        <v>703</v>
      </c>
      <c r="J23">
        <v>1</v>
      </c>
      <c r="K23" s="8">
        <v>2198.3649999999998</v>
      </c>
      <c r="L23">
        <f t="shared" si="0"/>
        <v>10</v>
      </c>
      <c r="M23">
        <f t="shared" si="1"/>
        <v>-787.68299999999999</v>
      </c>
    </row>
    <row r="24" spans="1:13" x14ac:dyDescent="0.2">
      <c r="A24" t="s">
        <v>11</v>
      </c>
      <c r="B24">
        <v>3</v>
      </c>
      <c r="C24">
        <v>2</v>
      </c>
      <c r="D24">
        <v>20</v>
      </c>
      <c r="E24">
        <v>1000</v>
      </c>
      <c r="F24">
        <v>19983</v>
      </c>
      <c r="G24">
        <v>4.8845E-2</v>
      </c>
      <c r="H24">
        <v>4.9627070000000002E-2</v>
      </c>
      <c r="I24">
        <v>7046</v>
      </c>
      <c r="J24">
        <v>1</v>
      </c>
      <c r="K24" s="5">
        <v>28775.846000000001</v>
      </c>
      <c r="L24">
        <f t="shared" si="0"/>
        <v>35</v>
      </c>
      <c r="M24">
        <f t="shared" si="1"/>
        <v>770.3650000000016</v>
      </c>
    </row>
    <row r="25" spans="1:13" x14ac:dyDescent="0.2">
      <c r="A25" t="s">
        <v>11</v>
      </c>
      <c r="B25">
        <v>3</v>
      </c>
      <c r="C25">
        <v>2</v>
      </c>
      <c r="D25">
        <v>20</v>
      </c>
      <c r="E25">
        <v>10000</v>
      </c>
      <c r="F25">
        <v>198677</v>
      </c>
      <c r="G25">
        <v>0.52512599999999998</v>
      </c>
      <c r="H25">
        <v>0.53225803000000005</v>
      </c>
      <c r="I25">
        <v>69415</v>
      </c>
      <c r="J25">
        <v>1</v>
      </c>
      <c r="K25" s="4">
        <v>296511.65600000002</v>
      </c>
      <c r="L25">
        <f t="shared" si="0"/>
        <v>23</v>
      </c>
      <c r="M25">
        <f t="shared" si="1"/>
        <v>-60667.445999999996</v>
      </c>
    </row>
    <row r="26" spans="1:13" x14ac:dyDescent="0.2">
      <c r="A26" t="s">
        <v>11</v>
      </c>
      <c r="B26">
        <v>3</v>
      </c>
      <c r="C26">
        <v>2</v>
      </c>
      <c r="D26">
        <v>40</v>
      </c>
      <c r="E26">
        <v>100</v>
      </c>
      <c r="F26">
        <v>3965</v>
      </c>
      <c r="G26">
        <v>1.0083999999999999E-2</v>
      </c>
      <c r="H26">
        <v>1.010609E-2</v>
      </c>
      <c r="I26">
        <v>1449</v>
      </c>
      <c r="J26">
        <v>1</v>
      </c>
      <c r="K26" s="2">
        <v>25535.506000000001</v>
      </c>
      <c r="L26">
        <f t="shared" si="0"/>
        <v>29</v>
      </c>
      <c r="M26">
        <f t="shared" si="1"/>
        <v>3745.4799999999996</v>
      </c>
    </row>
    <row r="27" spans="1:13" x14ac:dyDescent="0.2">
      <c r="A27" t="s">
        <v>11</v>
      </c>
      <c r="B27">
        <v>3</v>
      </c>
      <c r="C27">
        <v>2</v>
      </c>
      <c r="D27">
        <v>40</v>
      </c>
      <c r="E27">
        <v>1000</v>
      </c>
      <c r="F27">
        <v>39907</v>
      </c>
      <c r="G27">
        <v>9.6226000000000006E-2</v>
      </c>
      <c r="H27">
        <v>9.8910090000000006E-2</v>
      </c>
      <c r="I27">
        <v>14246</v>
      </c>
      <c r="J27">
        <v>1</v>
      </c>
      <c r="K27" s="3">
        <v>254567.21599999999</v>
      </c>
      <c r="L27">
        <f t="shared" si="0"/>
        <v>72</v>
      </c>
      <c r="M27">
        <f t="shared" si="1"/>
        <v>-35144.863000000041</v>
      </c>
    </row>
    <row r="28" spans="1:13" x14ac:dyDescent="0.2">
      <c r="A28" t="s">
        <v>11</v>
      </c>
      <c r="B28">
        <v>3</v>
      </c>
      <c r="C28">
        <v>2</v>
      </c>
      <c r="D28">
        <v>40</v>
      </c>
      <c r="E28">
        <v>10000</v>
      </c>
      <c r="F28">
        <v>396791</v>
      </c>
      <c r="G28">
        <v>0.96683200000000002</v>
      </c>
      <c r="H28">
        <v>0.98024106</v>
      </c>
      <c r="I28">
        <v>139955</v>
      </c>
      <c r="J28">
        <v>1</v>
      </c>
      <c r="K28" s="1">
        <v>3287602.4130000002</v>
      </c>
      <c r="L28">
        <f t="shared" si="0"/>
        <v>15</v>
      </c>
      <c r="M28">
        <f t="shared" si="1"/>
        <v>-617933.63999999966</v>
      </c>
    </row>
    <row r="29" spans="1:13" x14ac:dyDescent="0.2">
      <c r="A29" t="s">
        <v>11</v>
      </c>
      <c r="B29">
        <v>5</v>
      </c>
      <c r="C29">
        <v>4</v>
      </c>
      <c r="D29">
        <v>10</v>
      </c>
      <c r="E29">
        <v>100</v>
      </c>
      <c r="F29">
        <v>997</v>
      </c>
      <c r="G29">
        <v>3.3670000000000002E-3</v>
      </c>
      <c r="H29">
        <v>3.3659900000000001E-3</v>
      </c>
      <c r="I29">
        <v>357</v>
      </c>
      <c r="J29">
        <v>2</v>
      </c>
      <c r="K29">
        <v>280.84100000000001</v>
      </c>
      <c r="L29">
        <f t="shared" si="0"/>
        <v>3</v>
      </c>
      <c r="M29">
        <f t="shared" si="1"/>
        <v>1.5679999999999836</v>
      </c>
    </row>
    <row r="30" spans="1:13" x14ac:dyDescent="0.2">
      <c r="A30" t="s">
        <v>11</v>
      </c>
      <c r="B30">
        <v>5</v>
      </c>
      <c r="C30">
        <v>4</v>
      </c>
      <c r="D30">
        <v>10</v>
      </c>
      <c r="E30">
        <v>1000</v>
      </c>
      <c r="F30">
        <v>9997</v>
      </c>
      <c r="G30">
        <v>2.7307000000000001E-2</v>
      </c>
      <c r="H30">
        <v>2.75619E-2</v>
      </c>
      <c r="I30">
        <v>3367</v>
      </c>
      <c r="J30">
        <v>3</v>
      </c>
      <c r="K30" s="6">
        <v>2376.107</v>
      </c>
      <c r="L30">
        <f>I30-I21</f>
        <v>-5</v>
      </c>
      <c r="M30">
        <f t="shared" si="1"/>
        <v>411.12999999999988</v>
      </c>
    </row>
    <row r="31" spans="1:13" x14ac:dyDescent="0.2">
      <c r="A31" t="s">
        <v>11</v>
      </c>
      <c r="B31">
        <v>5</v>
      </c>
      <c r="C31">
        <v>4</v>
      </c>
      <c r="D31">
        <v>10</v>
      </c>
      <c r="E31">
        <v>10000</v>
      </c>
      <c r="F31">
        <v>99600</v>
      </c>
      <c r="G31">
        <v>0.29297600000000001</v>
      </c>
      <c r="H31">
        <v>0.30019212000000001</v>
      </c>
      <c r="I31">
        <v>33332</v>
      </c>
      <c r="J31">
        <v>2</v>
      </c>
      <c r="K31" s="7">
        <v>24581.168000000001</v>
      </c>
      <c r="L31">
        <f t="shared" si="0"/>
        <v>29</v>
      </c>
      <c r="M31">
        <f t="shared" si="1"/>
        <v>4248.1020000000026</v>
      </c>
    </row>
    <row r="32" spans="1:13" x14ac:dyDescent="0.2">
      <c r="A32" t="s">
        <v>11</v>
      </c>
      <c r="B32">
        <v>5</v>
      </c>
      <c r="C32">
        <v>4</v>
      </c>
      <c r="D32">
        <v>20</v>
      </c>
      <c r="E32">
        <v>100</v>
      </c>
      <c r="F32">
        <v>1987</v>
      </c>
      <c r="G32">
        <v>5.5459999999999997E-3</v>
      </c>
      <c r="H32">
        <v>5.5470500000000004E-3</v>
      </c>
      <c r="I32">
        <v>713</v>
      </c>
      <c r="J32">
        <v>1</v>
      </c>
      <c r="K32" s="8">
        <v>3200.8090000000002</v>
      </c>
      <c r="L32">
        <f t="shared" si="0"/>
        <v>10</v>
      </c>
      <c r="M32">
        <f t="shared" si="1"/>
        <v>1002.4440000000004</v>
      </c>
    </row>
    <row r="33" spans="1:13" x14ac:dyDescent="0.2">
      <c r="A33" t="s">
        <v>11</v>
      </c>
      <c r="B33">
        <v>5</v>
      </c>
      <c r="C33">
        <v>4</v>
      </c>
      <c r="D33">
        <v>20</v>
      </c>
      <c r="E33">
        <v>1000</v>
      </c>
      <c r="F33">
        <v>19983</v>
      </c>
      <c r="G33">
        <v>5.3247999999999997E-2</v>
      </c>
      <c r="H33">
        <v>5.4213049999999999E-2</v>
      </c>
      <c r="I33">
        <v>7068</v>
      </c>
      <c r="J33">
        <v>1</v>
      </c>
      <c r="K33" s="5">
        <v>27242.362000000001</v>
      </c>
      <c r="L33">
        <f t="shared" si="0"/>
        <v>22</v>
      </c>
      <c r="M33">
        <f t="shared" si="1"/>
        <v>-1533.4840000000004</v>
      </c>
    </row>
    <row r="34" spans="1:13" x14ac:dyDescent="0.2">
      <c r="A34" t="s">
        <v>11</v>
      </c>
      <c r="B34">
        <v>5</v>
      </c>
      <c r="C34">
        <v>4</v>
      </c>
      <c r="D34">
        <v>20</v>
      </c>
      <c r="E34">
        <v>10000</v>
      </c>
      <c r="F34">
        <v>198677</v>
      </c>
      <c r="G34">
        <v>0.48879499999999998</v>
      </c>
      <c r="H34">
        <v>0.49281978999999998</v>
      </c>
      <c r="I34">
        <v>69489</v>
      </c>
      <c r="J34">
        <v>1</v>
      </c>
      <c r="K34" s="4">
        <v>315767.81300000002</v>
      </c>
      <c r="L34">
        <f t="shared" si="0"/>
        <v>74</v>
      </c>
      <c r="M34">
        <f t="shared" si="1"/>
        <v>19256.157000000007</v>
      </c>
    </row>
    <row r="35" spans="1:13" x14ac:dyDescent="0.2">
      <c r="A35" t="s">
        <v>11</v>
      </c>
      <c r="B35">
        <v>5</v>
      </c>
      <c r="C35">
        <v>4</v>
      </c>
      <c r="D35">
        <v>40</v>
      </c>
      <c r="E35">
        <v>100</v>
      </c>
      <c r="F35">
        <v>3965</v>
      </c>
      <c r="G35">
        <v>1.0599000000000001E-2</v>
      </c>
      <c r="H35">
        <v>1.083803E-2</v>
      </c>
      <c r="I35">
        <v>1461</v>
      </c>
      <c r="J35">
        <v>1</v>
      </c>
      <c r="K35" s="2">
        <v>28993.989000000001</v>
      </c>
      <c r="L35">
        <f t="shared" si="0"/>
        <v>12</v>
      </c>
      <c r="M35">
        <f t="shared" si="1"/>
        <v>3458.4830000000002</v>
      </c>
    </row>
    <row r="36" spans="1:13" x14ac:dyDescent="0.2">
      <c r="A36" t="s">
        <v>11</v>
      </c>
      <c r="B36">
        <v>5</v>
      </c>
      <c r="C36">
        <v>4</v>
      </c>
      <c r="D36">
        <v>40</v>
      </c>
      <c r="E36">
        <v>1000</v>
      </c>
      <c r="F36">
        <v>39907</v>
      </c>
      <c r="G36">
        <v>9.2087000000000002E-2</v>
      </c>
      <c r="H36">
        <v>9.2258930000000003E-2</v>
      </c>
      <c r="I36">
        <v>14330</v>
      </c>
      <c r="J36">
        <v>1</v>
      </c>
      <c r="K36" s="3">
        <v>269092.35499999998</v>
      </c>
      <c r="L36">
        <f t="shared" si="0"/>
        <v>84</v>
      </c>
      <c r="M36">
        <f t="shared" si="1"/>
        <v>14525.138999999996</v>
      </c>
    </row>
    <row r="37" spans="1:13" x14ac:dyDescent="0.2">
      <c r="A37" t="s">
        <v>11</v>
      </c>
      <c r="B37">
        <v>5</v>
      </c>
      <c r="C37">
        <v>4</v>
      </c>
      <c r="D37">
        <v>40</v>
      </c>
      <c r="E37">
        <v>10000</v>
      </c>
      <c r="F37">
        <v>396791</v>
      </c>
      <c r="G37">
        <v>0.94772500000000004</v>
      </c>
      <c r="H37">
        <v>0.95472908000000001</v>
      </c>
      <c r="I37">
        <v>140173</v>
      </c>
      <c r="J37">
        <v>1</v>
      </c>
      <c r="K37" s="1">
        <v>2955897.6979999999</v>
      </c>
      <c r="L37">
        <f t="shared" si="0"/>
        <v>218</v>
      </c>
      <c r="M37">
        <f t="shared" si="1"/>
        <v>-331704.71500000032</v>
      </c>
    </row>
    <row r="38" spans="1:13" x14ac:dyDescent="0.2">
      <c r="A38" t="s">
        <v>11</v>
      </c>
      <c r="B38">
        <v>9</v>
      </c>
      <c r="C38">
        <v>8</v>
      </c>
      <c r="D38">
        <v>10</v>
      </c>
      <c r="E38">
        <v>100</v>
      </c>
      <c r="F38">
        <v>997</v>
      </c>
      <c r="G38">
        <v>3.4970000000000001E-3</v>
      </c>
      <c r="H38">
        <v>3.4968899999999999E-3</v>
      </c>
      <c r="I38">
        <v>362</v>
      </c>
      <c r="J38">
        <v>4</v>
      </c>
      <c r="K38">
        <v>333.63400000000001</v>
      </c>
      <c r="L38">
        <f t="shared" si="0"/>
        <v>5</v>
      </c>
      <c r="M38">
        <f t="shared" si="1"/>
        <v>52.793000000000006</v>
      </c>
    </row>
    <row r="39" spans="1:13" x14ac:dyDescent="0.2">
      <c r="A39" t="s">
        <v>11</v>
      </c>
      <c r="B39">
        <v>9</v>
      </c>
      <c r="C39">
        <v>8</v>
      </c>
      <c r="D39">
        <v>10</v>
      </c>
      <c r="E39">
        <v>1000</v>
      </c>
      <c r="F39">
        <v>9997</v>
      </c>
      <c r="G39">
        <v>2.6551999999999999E-2</v>
      </c>
      <c r="H39">
        <v>2.656698E-2</v>
      </c>
      <c r="I39">
        <v>3398</v>
      </c>
      <c r="J39">
        <v>3</v>
      </c>
      <c r="K39" s="6">
        <v>2938.3180000000002</v>
      </c>
      <c r="L39">
        <f t="shared" si="0"/>
        <v>31</v>
      </c>
      <c r="M39">
        <f t="shared" si="1"/>
        <v>562.21100000000024</v>
      </c>
    </row>
    <row r="40" spans="1:13" x14ac:dyDescent="0.2">
      <c r="A40" t="s">
        <v>11</v>
      </c>
      <c r="B40">
        <v>9</v>
      </c>
      <c r="C40">
        <v>8</v>
      </c>
      <c r="D40">
        <v>10</v>
      </c>
      <c r="E40">
        <v>10000</v>
      </c>
      <c r="F40">
        <v>99600</v>
      </c>
      <c r="G40">
        <v>0.266816</v>
      </c>
      <c r="H40">
        <v>0.26821113000000002</v>
      </c>
      <c r="I40">
        <v>33372</v>
      </c>
      <c r="J40">
        <v>2</v>
      </c>
      <c r="K40" s="7">
        <v>24548.451000000001</v>
      </c>
      <c r="L40">
        <f t="shared" si="0"/>
        <v>40</v>
      </c>
      <c r="M40">
        <f t="shared" si="1"/>
        <v>-32.717000000000553</v>
      </c>
    </row>
    <row r="41" spans="1:13" x14ac:dyDescent="0.2">
      <c r="A41" t="s">
        <v>11</v>
      </c>
      <c r="B41">
        <v>9</v>
      </c>
      <c r="C41">
        <v>8</v>
      </c>
      <c r="D41">
        <v>20</v>
      </c>
      <c r="E41">
        <v>100</v>
      </c>
      <c r="F41">
        <v>1987</v>
      </c>
      <c r="G41">
        <v>5.9230000000000003E-3</v>
      </c>
      <c r="H41">
        <v>5.9766799999999998E-3</v>
      </c>
      <c r="I41">
        <v>735</v>
      </c>
      <c r="J41">
        <v>1</v>
      </c>
      <c r="K41" s="8">
        <v>3408.1559999999999</v>
      </c>
      <c r="L41">
        <f t="shared" si="0"/>
        <v>22</v>
      </c>
      <c r="M41">
        <f t="shared" si="1"/>
        <v>207.34699999999975</v>
      </c>
    </row>
    <row r="42" spans="1:13" x14ac:dyDescent="0.2">
      <c r="A42" t="s">
        <v>11</v>
      </c>
      <c r="B42">
        <v>9</v>
      </c>
      <c r="C42">
        <v>8</v>
      </c>
      <c r="D42">
        <v>20</v>
      </c>
      <c r="E42">
        <v>1000</v>
      </c>
      <c r="F42">
        <v>19983</v>
      </c>
      <c r="G42">
        <v>5.0900000000000001E-2</v>
      </c>
      <c r="H42">
        <v>5.166602E-2</v>
      </c>
      <c r="I42">
        <v>7126</v>
      </c>
      <c r="J42">
        <v>1</v>
      </c>
      <c r="K42" s="5">
        <v>25231.822</v>
      </c>
      <c r="L42">
        <f t="shared" si="0"/>
        <v>58</v>
      </c>
      <c r="M42">
        <f t="shared" si="1"/>
        <v>-2010.5400000000009</v>
      </c>
    </row>
    <row r="43" spans="1:13" x14ac:dyDescent="0.2">
      <c r="A43" t="s">
        <v>11</v>
      </c>
      <c r="B43">
        <v>9</v>
      </c>
      <c r="C43">
        <v>8</v>
      </c>
      <c r="D43">
        <v>20</v>
      </c>
      <c r="E43">
        <v>10000</v>
      </c>
      <c r="F43">
        <v>198677</v>
      </c>
      <c r="G43">
        <v>0.490371</v>
      </c>
      <c r="H43">
        <v>0.49296688999999999</v>
      </c>
      <c r="I43">
        <v>69610</v>
      </c>
      <c r="J43">
        <v>1</v>
      </c>
      <c r="K43" s="4">
        <v>286165.16700000002</v>
      </c>
      <c r="L43">
        <f t="shared" si="0"/>
        <v>121</v>
      </c>
      <c r="M43">
        <f t="shared" si="1"/>
        <v>-29602.646000000008</v>
      </c>
    </row>
    <row r="44" spans="1:13" x14ac:dyDescent="0.2">
      <c r="A44" t="s">
        <v>11</v>
      </c>
      <c r="B44">
        <v>9</v>
      </c>
      <c r="C44">
        <v>8</v>
      </c>
      <c r="D44">
        <v>40</v>
      </c>
      <c r="E44">
        <v>100</v>
      </c>
      <c r="F44">
        <v>3965</v>
      </c>
      <c r="G44">
        <v>1.1346999999999999E-2</v>
      </c>
      <c r="H44">
        <v>1.188374E-2</v>
      </c>
      <c r="I44">
        <v>1508</v>
      </c>
      <c r="J44">
        <v>1</v>
      </c>
      <c r="K44" s="2">
        <v>31647.780999999999</v>
      </c>
      <c r="L44">
        <f t="shared" si="0"/>
        <v>47</v>
      </c>
      <c r="M44">
        <f t="shared" si="1"/>
        <v>2653.7919999999976</v>
      </c>
    </row>
    <row r="45" spans="1:13" x14ac:dyDescent="0.2">
      <c r="A45" t="s">
        <v>11</v>
      </c>
      <c r="B45">
        <v>9</v>
      </c>
      <c r="C45">
        <v>8</v>
      </c>
      <c r="D45">
        <v>40</v>
      </c>
      <c r="E45">
        <v>1000</v>
      </c>
      <c r="F45">
        <v>39907</v>
      </c>
      <c r="G45">
        <v>9.1229000000000005E-2</v>
      </c>
      <c r="H45">
        <v>9.1556070000000003E-2</v>
      </c>
      <c r="I45">
        <v>14442</v>
      </c>
      <c r="J45">
        <v>1</v>
      </c>
      <c r="K45" s="3">
        <v>264146.01400000002</v>
      </c>
      <c r="L45">
        <f t="shared" si="0"/>
        <v>112</v>
      </c>
      <c r="M45">
        <f t="shared" si="1"/>
        <v>-4946.3409999999567</v>
      </c>
    </row>
    <row r="46" spans="1:13" x14ac:dyDescent="0.2">
      <c r="A46" t="s">
        <v>11</v>
      </c>
      <c r="B46">
        <v>9</v>
      </c>
      <c r="C46">
        <v>8</v>
      </c>
      <c r="D46">
        <v>40</v>
      </c>
      <c r="E46">
        <v>10000</v>
      </c>
      <c r="F46">
        <v>396791</v>
      </c>
      <c r="G46">
        <v>0.91834300000000002</v>
      </c>
      <c r="H46">
        <v>0.92203212000000001</v>
      </c>
      <c r="I46">
        <v>140425</v>
      </c>
      <c r="J46">
        <v>1</v>
      </c>
      <c r="K46" s="1">
        <v>2942548.9959999998</v>
      </c>
      <c r="L46">
        <f t="shared" si="0"/>
        <v>252</v>
      </c>
      <c r="M46">
        <f t="shared" si="1"/>
        <v>-13348.702000000048</v>
      </c>
    </row>
    <row r="47" spans="1:13" x14ac:dyDescent="0.2">
      <c r="A47" t="s">
        <v>11</v>
      </c>
      <c r="B47">
        <v>17</v>
      </c>
      <c r="C47">
        <v>16</v>
      </c>
      <c r="D47">
        <v>10</v>
      </c>
      <c r="E47">
        <v>100</v>
      </c>
      <c r="F47">
        <v>997</v>
      </c>
      <c r="G47">
        <v>3.7699999999999999E-3</v>
      </c>
      <c r="H47">
        <v>3.7686799999999999E-3</v>
      </c>
      <c r="I47">
        <v>372</v>
      </c>
      <c r="J47">
        <v>4</v>
      </c>
      <c r="K47">
        <v>310.30900000000003</v>
      </c>
      <c r="L47">
        <f t="shared" si="0"/>
        <v>10</v>
      </c>
      <c r="M47">
        <f t="shared" si="1"/>
        <v>-23.324999999999989</v>
      </c>
    </row>
    <row r="48" spans="1:13" x14ac:dyDescent="0.2">
      <c r="A48" t="s">
        <v>11</v>
      </c>
      <c r="B48">
        <v>17</v>
      </c>
      <c r="C48">
        <v>16</v>
      </c>
      <c r="D48">
        <v>10</v>
      </c>
      <c r="E48">
        <v>1000</v>
      </c>
      <c r="F48">
        <v>9997</v>
      </c>
      <c r="G48">
        <v>2.8254000000000001E-2</v>
      </c>
      <c r="H48">
        <v>2.8811929999999999E-2</v>
      </c>
      <c r="I48">
        <v>3431</v>
      </c>
      <c r="J48">
        <v>1</v>
      </c>
      <c r="K48" s="6">
        <v>1708.6020000000001</v>
      </c>
      <c r="L48">
        <f t="shared" si="0"/>
        <v>33</v>
      </c>
      <c r="M48">
        <f t="shared" si="1"/>
        <v>-1229.7160000000001</v>
      </c>
    </row>
    <row r="49" spans="1:13" x14ac:dyDescent="0.2">
      <c r="A49" t="s">
        <v>11</v>
      </c>
      <c r="B49">
        <v>17</v>
      </c>
      <c r="C49">
        <v>16</v>
      </c>
      <c r="D49">
        <v>10</v>
      </c>
      <c r="E49">
        <v>10000</v>
      </c>
      <c r="F49">
        <v>99600</v>
      </c>
      <c r="G49">
        <v>0.314444</v>
      </c>
      <c r="H49">
        <v>0.43281698000000002</v>
      </c>
      <c r="I49">
        <v>33428</v>
      </c>
      <c r="J49">
        <v>2</v>
      </c>
      <c r="K49" s="7">
        <v>19982.182000000001</v>
      </c>
      <c r="L49">
        <f t="shared" si="0"/>
        <v>56</v>
      </c>
      <c r="M49">
        <f t="shared" si="1"/>
        <v>-4566.2690000000002</v>
      </c>
    </row>
    <row r="50" spans="1:13" x14ac:dyDescent="0.2">
      <c r="A50" t="s">
        <v>11</v>
      </c>
      <c r="B50">
        <v>17</v>
      </c>
      <c r="C50">
        <v>16</v>
      </c>
      <c r="D50">
        <v>20</v>
      </c>
      <c r="E50">
        <v>100</v>
      </c>
      <c r="F50">
        <v>1987</v>
      </c>
      <c r="G50">
        <v>6.6730000000000001E-3</v>
      </c>
      <c r="H50">
        <v>6.76298E-3</v>
      </c>
      <c r="I50">
        <v>758</v>
      </c>
      <c r="J50">
        <v>1</v>
      </c>
      <c r="K50" s="8">
        <v>3659.442</v>
      </c>
      <c r="L50">
        <f t="shared" si="0"/>
        <v>23</v>
      </c>
      <c r="M50">
        <f t="shared" si="1"/>
        <v>251.28600000000006</v>
      </c>
    </row>
    <row r="51" spans="1:13" x14ac:dyDescent="0.2">
      <c r="A51" t="s">
        <v>11</v>
      </c>
      <c r="B51">
        <v>17</v>
      </c>
      <c r="C51">
        <v>16</v>
      </c>
      <c r="D51">
        <v>20</v>
      </c>
      <c r="E51">
        <v>1000</v>
      </c>
      <c r="F51">
        <v>19983</v>
      </c>
      <c r="G51">
        <v>6.2673000000000006E-2</v>
      </c>
      <c r="H51">
        <v>6.5284969999999998E-2</v>
      </c>
      <c r="I51">
        <v>7208</v>
      </c>
      <c r="J51">
        <v>1</v>
      </c>
      <c r="K51" s="5">
        <v>26088.277999999998</v>
      </c>
      <c r="L51">
        <f t="shared" si="0"/>
        <v>82</v>
      </c>
      <c r="M51">
        <f t="shared" si="1"/>
        <v>856.45599999999831</v>
      </c>
    </row>
    <row r="52" spans="1:13" x14ac:dyDescent="0.2">
      <c r="A52" t="s">
        <v>11</v>
      </c>
      <c r="B52">
        <v>17</v>
      </c>
      <c r="C52">
        <v>16</v>
      </c>
      <c r="D52">
        <v>20</v>
      </c>
      <c r="E52">
        <v>10000</v>
      </c>
      <c r="F52">
        <v>198677</v>
      </c>
      <c r="G52">
        <v>0.51618600000000003</v>
      </c>
      <c r="H52">
        <v>0.53386496999999999</v>
      </c>
      <c r="I52">
        <v>69820</v>
      </c>
      <c r="J52">
        <v>3</v>
      </c>
      <c r="K52" s="4">
        <v>259713.18</v>
      </c>
      <c r="L52">
        <f t="shared" si="0"/>
        <v>210</v>
      </c>
      <c r="M52">
        <f t="shared" si="1"/>
        <v>-26451.987000000023</v>
      </c>
    </row>
    <row r="53" spans="1:13" x14ac:dyDescent="0.2">
      <c r="A53" t="s">
        <v>11</v>
      </c>
      <c r="B53">
        <v>17</v>
      </c>
      <c r="C53">
        <v>16</v>
      </c>
      <c r="D53">
        <v>40</v>
      </c>
      <c r="E53">
        <v>100</v>
      </c>
      <c r="F53">
        <v>3965</v>
      </c>
      <c r="G53">
        <v>1.2189999999999999E-2</v>
      </c>
      <c r="H53">
        <v>1.244688E-2</v>
      </c>
      <c r="I53">
        <v>1553</v>
      </c>
      <c r="J53">
        <v>1</v>
      </c>
      <c r="K53" s="2">
        <v>32335.7</v>
      </c>
      <c r="L53">
        <f t="shared" si="0"/>
        <v>45</v>
      </c>
      <c r="M53">
        <f t="shared" si="1"/>
        <v>687.91900000000169</v>
      </c>
    </row>
    <row r="54" spans="1:13" x14ac:dyDescent="0.2">
      <c r="A54" t="s">
        <v>11</v>
      </c>
      <c r="B54">
        <v>17</v>
      </c>
      <c r="C54">
        <v>16</v>
      </c>
      <c r="D54">
        <v>40</v>
      </c>
      <c r="E54">
        <v>1000</v>
      </c>
      <c r="F54">
        <v>39907</v>
      </c>
      <c r="G54">
        <v>0.102337</v>
      </c>
      <c r="H54">
        <v>0.10557699</v>
      </c>
      <c r="I54">
        <v>14617</v>
      </c>
      <c r="J54">
        <v>1</v>
      </c>
      <c r="K54" s="3">
        <v>288880.21999999997</v>
      </c>
      <c r="L54">
        <f t="shared" si="0"/>
        <v>175</v>
      </c>
      <c r="M54">
        <f t="shared" si="1"/>
        <v>24734.205999999947</v>
      </c>
    </row>
    <row r="55" spans="1:13" x14ac:dyDescent="0.2">
      <c r="A55" t="s">
        <v>11</v>
      </c>
      <c r="B55">
        <v>17</v>
      </c>
      <c r="C55">
        <v>16</v>
      </c>
      <c r="D55">
        <v>40</v>
      </c>
      <c r="E55">
        <v>10000</v>
      </c>
      <c r="F55">
        <v>396791</v>
      </c>
      <c r="G55">
        <v>1.078608</v>
      </c>
      <c r="H55">
        <v>1.2423632099999999</v>
      </c>
      <c r="I55">
        <v>140799</v>
      </c>
      <c r="J55">
        <v>1</v>
      </c>
      <c r="K55" s="1">
        <v>3188698</v>
      </c>
      <c r="L55">
        <f t="shared" si="0"/>
        <v>374</v>
      </c>
      <c r="M55">
        <f t="shared" si="1"/>
        <v>246149.00400000019</v>
      </c>
    </row>
    <row r="56" spans="1:13" x14ac:dyDescent="0.2">
      <c r="A56" t="s">
        <v>11</v>
      </c>
      <c r="B56">
        <v>33</v>
      </c>
      <c r="C56">
        <v>32</v>
      </c>
      <c r="D56">
        <v>10</v>
      </c>
      <c r="E56">
        <v>100</v>
      </c>
      <c r="F56">
        <v>997</v>
      </c>
      <c r="G56">
        <v>7.7489999999999998E-3</v>
      </c>
      <c r="H56">
        <v>8.0430499999999995E-3</v>
      </c>
      <c r="I56">
        <v>385</v>
      </c>
      <c r="J56">
        <v>2</v>
      </c>
      <c r="K56">
        <v>384.49299999999999</v>
      </c>
      <c r="L56">
        <f t="shared" si="0"/>
        <v>13</v>
      </c>
      <c r="M56">
        <f t="shared" si="1"/>
        <v>74.183999999999969</v>
      </c>
    </row>
    <row r="57" spans="1:13" x14ac:dyDescent="0.2">
      <c r="A57" t="s">
        <v>11</v>
      </c>
      <c r="B57">
        <v>33</v>
      </c>
      <c r="C57">
        <v>32</v>
      </c>
      <c r="D57">
        <v>10</v>
      </c>
      <c r="E57">
        <v>1000</v>
      </c>
      <c r="F57">
        <v>9997</v>
      </c>
      <c r="G57">
        <v>2.8119000000000002E-2</v>
      </c>
      <c r="H57">
        <v>2.848005E-2</v>
      </c>
      <c r="I57">
        <v>3477</v>
      </c>
      <c r="J57">
        <v>2</v>
      </c>
      <c r="K57" s="6">
        <v>2103.4780000000001</v>
      </c>
      <c r="L57">
        <f t="shared" si="0"/>
        <v>46</v>
      </c>
      <c r="M57">
        <f t="shared" si="1"/>
        <v>394.87599999999998</v>
      </c>
    </row>
    <row r="58" spans="1:13" x14ac:dyDescent="0.2">
      <c r="A58" t="s">
        <v>11</v>
      </c>
      <c r="B58">
        <v>33</v>
      </c>
      <c r="C58">
        <v>32</v>
      </c>
      <c r="D58">
        <v>10</v>
      </c>
      <c r="E58">
        <v>10000</v>
      </c>
      <c r="F58">
        <v>99600</v>
      </c>
      <c r="G58">
        <v>0.26948800000000001</v>
      </c>
      <c r="H58">
        <v>0.27411771000000001</v>
      </c>
      <c r="I58">
        <v>33591</v>
      </c>
      <c r="J58">
        <v>2</v>
      </c>
      <c r="K58" s="7">
        <v>23186.725999999999</v>
      </c>
      <c r="L58">
        <f t="shared" si="0"/>
        <v>163</v>
      </c>
      <c r="M58">
        <f t="shared" si="1"/>
        <v>3204.5439999999981</v>
      </c>
    </row>
    <row r="59" spans="1:13" x14ac:dyDescent="0.2">
      <c r="A59" t="s">
        <v>11</v>
      </c>
      <c r="B59">
        <v>33</v>
      </c>
      <c r="C59">
        <v>32</v>
      </c>
      <c r="D59">
        <v>20</v>
      </c>
      <c r="E59">
        <v>100</v>
      </c>
      <c r="F59">
        <v>1987</v>
      </c>
      <c r="G59">
        <v>1.1298000000000001E-2</v>
      </c>
      <c r="H59">
        <v>1.187611E-2</v>
      </c>
      <c r="I59">
        <v>796</v>
      </c>
      <c r="J59">
        <v>1</v>
      </c>
      <c r="K59" s="8">
        <v>3181.9749999999999</v>
      </c>
      <c r="L59">
        <f t="shared" si="0"/>
        <v>38</v>
      </c>
      <c r="M59">
        <f t="shared" si="1"/>
        <v>-477.4670000000001</v>
      </c>
    </row>
    <row r="60" spans="1:13" x14ac:dyDescent="0.2">
      <c r="A60" t="s">
        <v>11</v>
      </c>
      <c r="B60">
        <v>33</v>
      </c>
      <c r="C60">
        <v>32</v>
      </c>
      <c r="D60">
        <v>20</v>
      </c>
      <c r="E60">
        <v>1000</v>
      </c>
      <c r="F60">
        <v>19983</v>
      </c>
      <c r="G60">
        <v>5.2075999999999997E-2</v>
      </c>
      <c r="H60">
        <v>5.314493E-2</v>
      </c>
      <c r="I60">
        <v>7325</v>
      </c>
      <c r="J60">
        <v>2</v>
      </c>
      <c r="K60" s="5">
        <v>35296.196000000004</v>
      </c>
      <c r="L60">
        <f t="shared" si="0"/>
        <v>117</v>
      </c>
      <c r="M60">
        <f t="shared" si="1"/>
        <v>9207.9180000000051</v>
      </c>
    </row>
    <row r="61" spans="1:13" x14ac:dyDescent="0.2">
      <c r="A61" t="s">
        <v>11</v>
      </c>
      <c r="B61">
        <v>33</v>
      </c>
      <c r="C61">
        <v>32</v>
      </c>
      <c r="D61">
        <v>20</v>
      </c>
      <c r="E61">
        <v>10000</v>
      </c>
      <c r="F61">
        <v>198677</v>
      </c>
      <c r="G61">
        <v>0.55912499999999998</v>
      </c>
      <c r="H61">
        <v>0.57954620999999995</v>
      </c>
      <c r="I61">
        <v>70108</v>
      </c>
      <c r="J61">
        <v>1</v>
      </c>
      <c r="K61" s="4">
        <v>287076.68</v>
      </c>
      <c r="L61">
        <f t="shared" si="0"/>
        <v>288</v>
      </c>
      <c r="M61">
        <f t="shared" si="1"/>
        <v>27363.5</v>
      </c>
    </row>
    <row r="62" spans="1:13" x14ac:dyDescent="0.2">
      <c r="A62" t="s">
        <v>11</v>
      </c>
      <c r="B62">
        <v>33</v>
      </c>
      <c r="C62">
        <v>32</v>
      </c>
      <c r="D62">
        <v>40</v>
      </c>
      <c r="E62">
        <v>100</v>
      </c>
      <c r="F62">
        <v>3965</v>
      </c>
      <c r="G62">
        <v>1.3523E-2</v>
      </c>
      <c r="H62">
        <v>1.3730050000000001E-2</v>
      </c>
      <c r="I62">
        <v>1601</v>
      </c>
      <c r="J62">
        <v>1</v>
      </c>
      <c r="K62" s="2">
        <v>28998.812999999998</v>
      </c>
      <c r="L62">
        <f t="shared" si="0"/>
        <v>48</v>
      </c>
      <c r="M62">
        <f t="shared" si="1"/>
        <v>-3336.8870000000024</v>
      </c>
    </row>
    <row r="63" spans="1:13" x14ac:dyDescent="0.2">
      <c r="A63" t="s">
        <v>11</v>
      </c>
      <c r="B63">
        <v>33</v>
      </c>
      <c r="C63">
        <v>32</v>
      </c>
      <c r="D63">
        <v>40</v>
      </c>
      <c r="E63">
        <v>1000</v>
      </c>
      <c r="F63">
        <v>39907</v>
      </c>
      <c r="G63">
        <v>0.117955</v>
      </c>
      <c r="H63">
        <v>0.11965322</v>
      </c>
      <c r="I63">
        <v>14913</v>
      </c>
      <c r="J63">
        <v>1</v>
      </c>
      <c r="K63" s="3">
        <v>290159.40899999999</v>
      </c>
      <c r="L63">
        <f t="shared" si="0"/>
        <v>296</v>
      </c>
      <c r="M63">
        <f t="shared" si="1"/>
        <v>1279.189000000013</v>
      </c>
    </row>
    <row r="64" spans="1:13" x14ac:dyDescent="0.2">
      <c r="A64" t="s">
        <v>11</v>
      </c>
      <c r="B64">
        <v>33</v>
      </c>
      <c r="C64">
        <v>32</v>
      </c>
      <c r="D64">
        <v>40</v>
      </c>
      <c r="E64">
        <v>10000</v>
      </c>
      <c r="F64">
        <v>396791</v>
      </c>
      <c r="G64">
        <v>1.119078</v>
      </c>
      <c r="H64">
        <v>1.15218687</v>
      </c>
      <c r="I64">
        <v>141518</v>
      </c>
      <c r="J64">
        <v>1</v>
      </c>
      <c r="K64" s="1">
        <v>2738257.2930000001</v>
      </c>
      <c r="L64">
        <f t="shared" si="0"/>
        <v>719</v>
      </c>
      <c r="M64">
        <f t="shared" si="1"/>
        <v>-450440.70699999994</v>
      </c>
    </row>
    <row r="65" spans="1:13" x14ac:dyDescent="0.2">
      <c r="A65" t="s">
        <v>11</v>
      </c>
      <c r="B65">
        <v>65</v>
      </c>
      <c r="C65">
        <v>64</v>
      </c>
      <c r="D65">
        <v>10</v>
      </c>
      <c r="E65">
        <v>100</v>
      </c>
      <c r="F65">
        <v>997</v>
      </c>
      <c r="G65">
        <v>5.0559999999999997E-3</v>
      </c>
      <c r="H65">
        <v>5.1369700000000003E-3</v>
      </c>
      <c r="I65">
        <v>373</v>
      </c>
      <c r="J65">
        <v>2</v>
      </c>
      <c r="K65">
        <v>517.08299999999997</v>
      </c>
      <c r="L65">
        <f t="shared" si="0"/>
        <v>-12</v>
      </c>
      <c r="M65">
        <f t="shared" si="1"/>
        <v>132.58999999999997</v>
      </c>
    </row>
    <row r="66" spans="1:13" x14ac:dyDescent="0.2">
      <c r="A66" t="s">
        <v>11</v>
      </c>
      <c r="B66">
        <v>65</v>
      </c>
      <c r="C66">
        <v>64</v>
      </c>
      <c r="D66">
        <v>10</v>
      </c>
      <c r="E66">
        <v>1000</v>
      </c>
      <c r="F66">
        <v>9997</v>
      </c>
      <c r="G66">
        <v>4.1127999999999998E-2</v>
      </c>
      <c r="H66">
        <v>4.4764039999999998E-2</v>
      </c>
      <c r="I66">
        <v>3540</v>
      </c>
      <c r="J66">
        <v>2</v>
      </c>
      <c r="K66" s="6">
        <v>2542.473</v>
      </c>
      <c r="L66">
        <f t="shared" si="0"/>
        <v>63</v>
      </c>
      <c r="M66">
        <f t="shared" si="1"/>
        <v>438.99499999999989</v>
      </c>
    </row>
    <row r="67" spans="1:13" x14ac:dyDescent="0.2">
      <c r="A67" t="s">
        <v>11</v>
      </c>
      <c r="B67">
        <v>65</v>
      </c>
      <c r="C67">
        <v>64</v>
      </c>
      <c r="D67">
        <v>10</v>
      </c>
      <c r="E67">
        <v>10000</v>
      </c>
      <c r="F67">
        <v>99600</v>
      </c>
      <c r="G67">
        <v>0.27675699999999998</v>
      </c>
      <c r="H67">
        <v>0.27989721000000001</v>
      </c>
      <c r="I67">
        <v>33796</v>
      </c>
      <c r="J67">
        <v>3</v>
      </c>
      <c r="K67" s="7">
        <v>19719.737000000001</v>
      </c>
      <c r="L67">
        <f t="shared" si="0"/>
        <v>205</v>
      </c>
      <c r="M67">
        <f>K67-K58</f>
        <v>-3466.9889999999978</v>
      </c>
    </row>
    <row r="68" spans="1:13" x14ac:dyDescent="0.2">
      <c r="A68" t="s">
        <v>11</v>
      </c>
      <c r="B68">
        <v>65</v>
      </c>
      <c r="C68">
        <v>64</v>
      </c>
      <c r="D68">
        <v>20</v>
      </c>
      <c r="E68">
        <v>100</v>
      </c>
      <c r="F68">
        <v>1987</v>
      </c>
      <c r="G68">
        <v>8.4639999999999993E-3</v>
      </c>
      <c r="H68">
        <v>8.5058200000000007E-3</v>
      </c>
      <c r="I68">
        <v>764</v>
      </c>
      <c r="J68">
        <v>1</v>
      </c>
      <c r="K68" s="8">
        <v>5082.5259999999998</v>
      </c>
      <c r="L68">
        <f t="shared" si="0"/>
        <v>-32</v>
      </c>
      <c r="M68">
        <f t="shared" si="1"/>
        <v>1900.5509999999999</v>
      </c>
    </row>
    <row r="69" spans="1:13" x14ac:dyDescent="0.2">
      <c r="A69" t="s">
        <v>11</v>
      </c>
      <c r="B69">
        <v>65</v>
      </c>
      <c r="C69">
        <v>64</v>
      </c>
      <c r="D69">
        <v>20</v>
      </c>
      <c r="E69">
        <v>1000</v>
      </c>
      <c r="F69">
        <v>19983</v>
      </c>
      <c r="G69">
        <v>5.3447000000000001E-2</v>
      </c>
      <c r="H69">
        <v>5.4145100000000002E-2</v>
      </c>
      <c r="I69">
        <v>7509</v>
      </c>
      <c r="J69">
        <v>2</v>
      </c>
      <c r="K69" s="9">
        <v>30792.182000000001</v>
      </c>
      <c r="L69">
        <f t="shared" si="0"/>
        <v>184</v>
      </c>
      <c r="M69">
        <f t="shared" si="1"/>
        <v>-4504.0140000000029</v>
      </c>
    </row>
    <row r="70" spans="1:13" x14ac:dyDescent="0.2">
      <c r="A70" t="s">
        <v>11</v>
      </c>
      <c r="B70">
        <v>65</v>
      </c>
      <c r="C70">
        <v>64</v>
      </c>
      <c r="D70">
        <v>20</v>
      </c>
      <c r="E70">
        <v>10000</v>
      </c>
      <c r="F70">
        <v>198677</v>
      </c>
      <c r="G70">
        <v>0.51144900000000004</v>
      </c>
      <c r="H70">
        <v>0.51581191999999998</v>
      </c>
      <c r="I70">
        <v>70594</v>
      </c>
      <c r="J70">
        <v>3</v>
      </c>
      <c r="K70" s="4">
        <v>255717.755</v>
      </c>
      <c r="L70">
        <f t="shared" si="0"/>
        <v>486</v>
      </c>
      <c r="M70">
        <f t="shared" si="1"/>
        <v>-31358.924999999988</v>
      </c>
    </row>
    <row r="71" spans="1:13" x14ac:dyDescent="0.2">
      <c r="A71" t="s">
        <v>11</v>
      </c>
      <c r="B71">
        <v>65</v>
      </c>
      <c r="C71">
        <v>64</v>
      </c>
      <c r="D71">
        <v>40</v>
      </c>
      <c r="E71">
        <v>100</v>
      </c>
      <c r="F71">
        <v>3965</v>
      </c>
      <c r="G71">
        <v>1.5474E-2</v>
      </c>
      <c r="H71">
        <v>1.555395E-2</v>
      </c>
      <c r="I71">
        <v>1560</v>
      </c>
      <c r="J71">
        <v>1</v>
      </c>
      <c r="K71" s="2">
        <v>46015.118999999999</v>
      </c>
      <c r="L71">
        <f t="shared" si="0"/>
        <v>-41</v>
      </c>
      <c r="M71">
        <f t="shared" si="1"/>
        <v>17016.306</v>
      </c>
    </row>
    <row r="72" spans="1:13" x14ac:dyDescent="0.2">
      <c r="A72" t="s">
        <v>11</v>
      </c>
      <c r="B72">
        <v>65</v>
      </c>
      <c r="C72">
        <v>64</v>
      </c>
      <c r="D72">
        <v>40</v>
      </c>
      <c r="E72">
        <v>1000</v>
      </c>
      <c r="F72">
        <v>39907</v>
      </c>
      <c r="G72">
        <v>9.7195000000000004E-2</v>
      </c>
      <c r="H72">
        <v>9.7665070000000007E-2</v>
      </c>
      <c r="I72">
        <v>15267</v>
      </c>
      <c r="J72">
        <v>1</v>
      </c>
      <c r="K72" s="3">
        <v>336063.28399999999</v>
      </c>
      <c r="L72">
        <f t="shared" si="0"/>
        <v>354</v>
      </c>
      <c r="M72">
        <f t="shared" si="1"/>
        <v>45903.875</v>
      </c>
    </row>
    <row r="73" spans="1:13" x14ac:dyDescent="0.2">
      <c r="A73" t="s">
        <v>11</v>
      </c>
      <c r="B73">
        <v>65</v>
      </c>
      <c r="C73">
        <v>64</v>
      </c>
      <c r="D73">
        <v>40</v>
      </c>
      <c r="E73">
        <v>10000</v>
      </c>
      <c r="F73">
        <v>396791</v>
      </c>
      <c r="G73">
        <v>1.0299430000000001</v>
      </c>
      <c r="H73">
        <v>1.04059291</v>
      </c>
      <c r="I73">
        <v>142552</v>
      </c>
      <c r="J73">
        <v>1</v>
      </c>
      <c r="K73" s="1">
        <v>2919399.1320000002</v>
      </c>
      <c r="L73">
        <f t="shared" si="0"/>
        <v>1034</v>
      </c>
      <c r="M73">
        <f t="shared" si="1"/>
        <v>181141.83900000015</v>
      </c>
    </row>
    <row r="82" spans="11:11" x14ac:dyDescent="0.2">
      <c r="K8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7"/>
  <sheetViews>
    <sheetView topLeftCell="A44" workbookViewId="0">
      <selection activeCell="A61" sqref="A1:XFD61"/>
    </sheetView>
  </sheetViews>
  <sheetFormatPr baseColWidth="10" defaultRowHeight="16" x14ac:dyDescent="0.2"/>
  <cols>
    <col min="2" max="2" width="15.83203125" customWidth="1"/>
    <col min="8" max="8" width="17.6640625" customWidth="1"/>
    <col min="12" max="12" width="10.83203125" style="11"/>
  </cols>
  <sheetData>
    <row r="1" spans="1:14" x14ac:dyDescent="0.2">
      <c r="A1" t="s">
        <v>10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1" t="s">
        <v>9</v>
      </c>
      <c r="M1" s="11" t="s">
        <v>108</v>
      </c>
      <c r="N1" s="11" t="s">
        <v>109</v>
      </c>
    </row>
    <row r="2" spans="1:14" x14ac:dyDescent="0.2">
      <c r="A2" t="s">
        <v>11</v>
      </c>
      <c r="B2" t="s">
        <v>13</v>
      </c>
      <c r="C2">
        <v>1</v>
      </c>
      <c r="D2">
        <v>0</v>
      </c>
      <c r="E2">
        <v>10</v>
      </c>
      <c r="F2">
        <v>100</v>
      </c>
      <c r="G2">
        <v>997</v>
      </c>
      <c r="H2">
        <v>3.5669999999999999E-3</v>
      </c>
      <c r="I2">
        <v>3.6971600000000001E-3</v>
      </c>
      <c r="J2">
        <v>346</v>
      </c>
      <c r="K2">
        <v>2</v>
      </c>
      <c r="L2" s="11">
        <v>188.08699999999999</v>
      </c>
      <c r="M2">
        <v>0</v>
      </c>
      <c r="N2">
        <v>0</v>
      </c>
    </row>
    <row r="3" spans="1:14" x14ac:dyDescent="0.2">
      <c r="A3" t="s">
        <v>11</v>
      </c>
      <c r="B3" t="s">
        <v>14</v>
      </c>
      <c r="C3">
        <v>1</v>
      </c>
      <c r="D3">
        <v>0</v>
      </c>
      <c r="E3">
        <v>10</v>
      </c>
      <c r="F3">
        <v>1000</v>
      </c>
      <c r="G3">
        <v>9997</v>
      </c>
      <c r="H3">
        <v>2.6887999999999999E-2</v>
      </c>
      <c r="I3">
        <v>2.716184E-2</v>
      </c>
      <c r="J3" s="7">
        <v>3357</v>
      </c>
      <c r="K3" s="7">
        <v>3</v>
      </c>
      <c r="L3" s="7">
        <v>2655.9209999999998</v>
      </c>
      <c r="M3">
        <v>0</v>
      </c>
      <c r="N3">
        <v>0</v>
      </c>
    </row>
    <row r="4" spans="1:14" x14ac:dyDescent="0.2">
      <c r="A4" t="s">
        <v>11</v>
      </c>
      <c r="B4" s="10" t="s">
        <v>15</v>
      </c>
      <c r="C4">
        <v>1</v>
      </c>
      <c r="D4">
        <v>0</v>
      </c>
      <c r="E4">
        <v>10</v>
      </c>
      <c r="F4">
        <v>10000</v>
      </c>
      <c r="G4">
        <v>99600</v>
      </c>
      <c r="H4">
        <v>0.32880700000000002</v>
      </c>
      <c r="I4">
        <v>0.41839099000000002</v>
      </c>
      <c r="J4" s="16">
        <v>33266</v>
      </c>
      <c r="K4" s="16">
        <v>2</v>
      </c>
      <c r="L4" s="16">
        <v>34746.883999999998</v>
      </c>
      <c r="M4">
        <v>0</v>
      </c>
      <c r="N4">
        <v>0</v>
      </c>
    </row>
    <row r="5" spans="1:14" x14ac:dyDescent="0.2">
      <c r="A5" t="s">
        <v>11</v>
      </c>
      <c r="B5" s="10" t="s">
        <v>16</v>
      </c>
      <c r="C5">
        <v>1</v>
      </c>
      <c r="D5">
        <v>0</v>
      </c>
      <c r="E5">
        <v>20</v>
      </c>
      <c r="F5">
        <v>100</v>
      </c>
      <c r="G5">
        <v>1987</v>
      </c>
      <c r="H5">
        <v>5.8729999999999997E-3</v>
      </c>
      <c r="I5">
        <v>6.9060299999999996E-3</v>
      </c>
      <c r="J5" s="5">
        <v>685</v>
      </c>
      <c r="K5" s="5">
        <v>2</v>
      </c>
      <c r="L5" s="5">
        <v>2551.1529999999998</v>
      </c>
      <c r="M5">
        <v>0</v>
      </c>
      <c r="N5">
        <v>0</v>
      </c>
    </row>
    <row r="6" spans="1:14" x14ac:dyDescent="0.2">
      <c r="A6" t="s">
        <v>11</v>
      </c>
      <c r="B6" s="10" t="s">
        <v>17</v>
      </c>
      <c r="C6">
        <v>1</v>
      </c>
      <c r="D6">
        <v>0</v>
      </c>
      <c r="E6">
        <v>20</v>
      </c>
      <c r="F6">
        <v>1000</v>
      </c>
      <c r="G6">
        <v>19983</v>
      </c>
      <c r="H6">
        <v>4.9492000000000001E-2</v>
      </c>
      <c r="I6">
        <v>5.05631E-2</v>
      </c>
      <c r="J6" s="6">
        <v>6991</v>
      </c>
      <c r="K6" s="6">
        <v>1</v>
      </c>
      <c r="L6" s="6">
        <v>29482.580999999998</v>
      </c>
      <c r="M6">
        <v>0</v>
      </c>
      <c r="N6">
        <v>0</v>
      </c>
    </row>
    <row r="7" spans="1:14" x14ac:dyDescent="0.2">
      <c r="A7" t="s">
        <v>11</v>
      </c>
      <c r="B7" s="10" t="s">
        <v>18</v>
      </c>
      <c r="C7">
        <v>1</v>
      </c>
      <c r="D7">
        <v>0</v>
      </c>
      <c r="E7">
        <v>20</v>
      </c>
      <c r="F7">
        <v>10000</v>
      </c>
      <c r="G7">
        <v>198677</v>
      </c>
      <c r="H7">
        <v>0.50287000000000004</v>
      </c>
      <c r="I7">
        <v>0.51095389999999996</v>
      </c>
      <c r="J7" s="15">
        <v>69332</v>
      </c>
      <c r="K7" s="15">
        <v>1</v>
      </c>
      <c r="L7" s="15">
        <v>390118.52399999998</v>
      </c>
      <c r="M7">
        <v>0</v>
      </c>
      <c r="N7">
        <v>0</v>
      </c>
    </row>
    <row r="8" spans="1:14" x14ac:dyDescent="0.2">
      <c r="A8" t="s">
        <v>11</v>
      </c>
      <c r="B8" s="10" t="s">
        <v>19</v>
      </c>
      <c r="C8">
        <v>1</v>
      </c>
      <c r="D8">
        <v>0</v>
      </c>
      <c r="E8">
        <v>40</v>
      </c>
      <c r="F8">
        <v>100</v>
      </c>
      <c r="G8">
        <v>3965</v>
      </c>
      <c r="H8">
        <v>1.1343000000000001E-2</v>
      </c>
      <c r="I8">
        <v>1.212907E-2</v>
      </c>
      <c r="J8" s="2">
        <v>1412</v>
      </c>
      <c r="K8" s="2">
        <v>1</v>
      </c>
      <c r="L8" s="2">
        <v>18695.815999999999</v>
      </c>
      <c r="M8">
        <v>0</v>
      </c>
      <c r="N8">
        <v>0</v>
      </c>
    </row>
    <row r="9" spans="1:14" x14ac:dyDescent="0.2">
      <c r="A9" t="s">
        <v>11</v>
      </c>
      <c r="B9" s="10" t="s">
        <v>20</v>
      </c>
      <c r="C9">
        <v>1</v>
      </c>
      <c r="D9">
        <v>0</v>
      </c>
      <c r="E9">
        <v>40</v>
      </c>
      <c r="F9">
        <v>1000</v>
      </c>
      <c r="G9">
        <v>39907</v>
      </c>
      <c r="H9">
        <v>9.2376E-2</v>
      </c>
      <c r="I9">
        <v>9.4183920000000004E-2</v>
      </c>
      <c r="J9" s="14">
        <v>14132</v>
      </c>
      <c r="K9" s="14">
        <v>1</v>
      </c>
      <c r="L9" s="14">
        <v>278214.19300000003</v>
      </c>
      <c r="M9">
        <v>0</v>
      </c>
      <c r="N9">
        <v>0</v>
      </c>
    </row>
    <row r="10" spans="1:14" x14ac:dyDescent="0.2">
      <c r="A10" t="s">
        <v>11</v>
      </c>
      <c r="B10" s="10" t="s">
        <v>21</v>
      </c>
      <c r="C10">
        <v>1</v>
      </c>
      <c r="D10">
        <v>0</v>
      </c>
      <c r="E10">
        <v>40</v>
      </c>
      <c r="F10">
        <v>10000</v>
      </c>
      <c r="G10">
        <v>396791</v>
      </c>
      <c r="H10">
        <v>0.96195600000000003</v>
      </c>
      <c r="I10">
        <v>0.98200273999999999</v>
      </c>
      <c r="J10" s="4">
        <v>139786</v>
      </c>
      <c r="K10" s="4">
        <v>1</v>
      </c>
      <c r="L10" s="4">
        <v>45338656.719999999</v>
      </c>
      <c r="M10">
        <v>0</v>
      </c>
      <c r="N10">
        <v>0</v>
      </c>
    </row>
    <row r="11" spans="1:14" x14ac:dyDescent="0.2">
      <c r="A11" t="s">
        <v>11</v>
      </c>
      <c r="B11" s="10" t="s">
        <v>22</v>
      </c>
      <c r="C11">
        <v>1</v>
      </c>
      <c r="D11">
        <v>0</v>
      </c>
      <c r="E11">
        <v>80</v>
      </c>
      <c r="F11">
        <v>100</v>
      </c>
      <c r="G11">
        <v>7916</v>
      </c>
      <c r="H11">
        <v>2.0653999999999999E-2</v>
      </c>
      <c r="I11">
        <v>2.0794150000000001E-2</v>
      </c>
      <c r="J11" s="13">
        <v>2685</v>
      </c>
      <c r="K11" s="13">
        <v>1</v>
      </c>
      <c r="L11" s="13">
        <v>210979.57</v>
      </c>
      <c r="M11">
        <v>0</v>
      </c>
      <c r="N11">
        <v>0</v>
      </c>
    </row>
    <row r="12" spans="1:14" x14ac:dyDescent="0.2">
      <c r="A12" t="s">
        <v>11</v>
      </c>
      <c r="B12" s="10" t="s">
        <v>23</v>
      </c>
      <c r="C12">
        <v>1</v>
      </c>
      <c r="D12">
        <v>0</v>
      </c>
      <c r="E12">
        <v>80</v>
      </c>
      <c r="F12">
        <v>1000</v>
      </c>
      <c r="G12">
        <v>78657</v>
      </c>
      <c r="H12">
        <v>0.19187699999999999</v>
      </c>
      <c r="I12">
        <v>0.19801497000000001</v>
      </c>
      <c r="J12" s="3">
        <v>26267</v>
      </c>
      <c r="K12" s="3">
        <v>1</v>
      </c>
      <c r="L12" s="3">
        <v>2671616.8859999999</v>
      </c>
      <c r="M12">
        <v>0</v>
      </c>
      <c r="N12">
        <v>0</v>
      </c>
    </row>
    <row r="13" spans="1:14" x14ac:dyDescent="0.2">
      <c r="A13" t="s">
        <v>11</v>
      </c>
      <c r="B13" s="10" t="s">
        <v>24</v>
      </c>
      <c r="C13">
        <v>1</v>
      </c>
      <c r="D13">
        <v>0</v>
      </c>
      <c r="E13">
        <v>80</v>
      </c>
      <c r="F13">
        <v>10000</v>
      </c>
      <c r="G13">
        <v>791251</v>
      </c>
      <c r="H13">
        <v>2.0672540000000001</v>
      </c>
      <c r="I13">
        <v>2.3659317500000001</v>
      </c>
      <c r="J13" s="1">
        <v>263185</v>
      </c>
      <c r="K13" s="1">
        <v>1</v>
      </c>
      <c r="L13" s="1">
        <v>42494919.780000001</v>
      </c>
      <c r="M13">
        <v>0</v>
      </c>
      <c r="N13">
        <v>0</v>
      </c>
    </row>
    <row r="14" spans="1:14" x14ac:dyDescent="0.2">
      <c r="A14" t="s">
        <v>11</v>
      </c>
      <c r="B14" s="10" t="s">
        <v>25</v>
      </c>
      <c r="C14">
        <v>2</v>
      </c>
      <c r="D14">
        <v>1</v>
      </c>
      <c r="E14">
        <v>10</v>
      </c>
      <c r="F14">
        <v>100</v>
      </c>
      <c r="G14">
        <v>997</v>
      </c>
      <c r="H14">
        <v>3.8660000000000001E-3</v>
      </c>
      <c r="I14">
        <v>4.0888799999999996E-3</v>
      </c>
      <c r="J14">
        <v>348</v>
      </c>
      <c r="K14">
        <v>1</v>
      </c>
      <c r="L14" s="11">
        <v>236.649</v>
      </c>
      <c r="M14">
        <f>J14-J2</f>
        <v>2</v>
      </c>
      <c r="N14">
        <f>L14-L2</f>
        <v>48.562000000000012</v>
      </c>
    </row>
    <row r="15" spans="1:14" x14ac:dyDescent="0.2">
      <c r="A15" t="s">
        <v>11</v>
      </c>
      <c r="B15" s="10" t="s">
        <v>26</v>
      </c>
      <c r="C15">
        <v>2</v>
      </c>
      <c r="D15">
        <v>1</v>
      </c>
      <c r="E15">
        <v>10</v>
      </c>
      <c r="F15">
        <v>1000</v>
      </c>
      <c r="G15">
        <v>9997</v>
      </c>
      <c r="H15">
        <v>2.8990999999999999E-2</v>
      </c>
      <c r="I15">
        <v>2.908635E-2</v>
      </c>
      <c r="J15" s="7">
        <v>3358</v>
      </c>
      <c r="K15" s="7">
        <v>2</v>
      </c>
      <c r="L15" s="7">
        <v>1878.2190000000001</v>
      </c>
      <c r="M15">
        <f>J15-J3</f>
        <v>1</v>
      </c>
      <c r="N15">
        <f t="shared" ref="N15:N78" si="0">L15-L3</f>
        <v>-777.70199999999977</v>
      </c>
    </row>
    <row r="16" spans="1:14" x14ac:dyDescent="0.2">
      <c r="A16" t="s">
        <v>11</v>
      </c>
      <c r="B16" s="10" t="s">
        <v>27</v>
      </c>
      <c r="C16">
        <v>2</v>
      </c>
      <c r="D16">
        <v>1</v>
      </c>
      <c r="E16">
        <v>10</v>
      </c>
      <c r="F16">
        <v>10000</v>
      </c>
      <c r="G16">
        <v>99600</v>
      </c>
      <c r="H16">
        <v>0.27939399999999998</v>
      </c>
      <c r="I16">
        <v>0.28424788000000001</v>
      </c>
      <c r="J16" s="16">
        <v>33279</v>
      </c>
      <c r="K16" s="16">
        <v>2</v>
      </c>
      <c r="L16" s="16">
        <v>33028.516000000003</v>
      </c>
      <c r="M16">
        <f t="shared" ref="M16:M79" si="1">J16-J4</f>
        <v>13</v>
      </c>
      <c r="N16">
        <f t="shared" si="0"/>
        <v>-1718.3679999999949</v>
      </c>
    </row>
    <row r="17" spans="1:14" x14ac:dyDescent="0.2">
      <c r="A17" t="s">
        <v>11</v>
      </c>
      <c r="B17" s="10" t="s">
        <v>28</v>
      </c>
      <c r="C17">
        <v>2</v>
      </c>
      <c r="D17">
        <v>1</v>
      </c>
      <c r="E17">
        <v>20</v>
      </c>
      <c r="F17">
        <v>100</v>
      </c>
      <c r="G17">
        <v>1987</v>
      </c>
      <c r="H17">
        <v>7.6499999999999997E-3</v>
      </c>
      <c r="I17">
        <v>8.3968600000000008E-3</v>
      </c>
      <c r="J17" s="5">
        <v>693</v>
      </c>
      <c r="K17" s="5">
        <v>1</v>
      </c>
      <c r="L17" s="5">
        <v>2986.0479999999998</v>
      </c>
      <c r="M17">
        <f t="shared" si="1"/>
        <v>8</v>
      </c>
      <c r="N17">
        <f t="shared" si="0"/>
        <v>434.89499999999998</v>
      </c>
    </row>
    <row r="18" spans="1:14" x14ac:dyDescent="0.2">
      <c r="A18" t="s">
        <v>11</v>
      </c>
      <c r="B18" s="10" t="s">
        <v>29</v>
      </c>
      <c r="C18">
        <v>2</v>
      </c>
      <c r="D18">
        <v>1</v>
      </c>
      <c r="E18">
        <v>20</v>
      </c>
      <c r="F18">
        <v>1000</v>
      </c>
      <c r="G18">
        <v>19983</v>
      </c>
      <c r="H18">
        <v>5.1749000000000003E-2</v>
      </c>
      <c r="I18">
        <v>5.3464890000000001E-2</v>
      </c>
      <c r="J18" s="6">
        <v>7011</v>
      </c>
      <c r="K18" s="6">
        <v>1</v>
      </c>
      <c r="L18" s="6">
        <v>28005.481</v>
      </c>
      <c r="M18">
        <f t="shared" si="1"/>
        <v>20</v>
      </c>
      <c r="N18">
        <f t="shared" si="0"/>
        <v>-1477.0999999999985</v>
      </c>
    </row>
    <row r="19" spans="1:14" x14ac:dyDescent="0.2">
      <c r="A19" t="s">
        <v>11</v>
      </c>
      <c r="B19" s="10" t="s">
        <v>30</v>
      </c>
      <c r="C19">
        <v>2</v>
      </c>
      <c r="D19">
        <v>1</v>
      </c>
      <c r="E19">
        <v>20</v>
      </c>
      <c r="F19">
        <v>10000</v>
      </c>
      <c r="G19">
        <v>198677</v>
      </c>
      <c r="H19">
        <v>0.51940500000000001</v>
      </c>
      <c r="I19">
        <v>0.53595113999999999</v>
      </c>
      <c r="J19" s="15">
        <v>69392</v>
      </c>
      <c r="K19" s="15">
        <v>2</v>
      </c>
      <c r="L19" s="15">
        <v>357179.10200000001</v>
      </c>
      <c r="M19">
        <f t="shared" si="1"/>
        <v>60</v>
      </c>
      <c r="N19">
        <f t="shared" si="0"/>
        <v>-32939.421999999962</v>
      </c>
    </row>
    <row r="20" spans="1:14" x14ac:dyDescent="0.2">
      <c r="A20" t="s">
        <v>11</v>
      </c>
      <c r="B20" s="10" t="s">
        <v>31</v>
      </c>
      <c r="C20">
        <v>2</v>
      </c>
      <c r="D20">
        <v>1</v>
      </c>
      <c r="E20">
        <v>40</v>
      </c>
      <c r="F20">
        <v>100</v>
      </c>
      <c r="G20">
        <v>3965</v>
      </c>
      <c r="H20">
        <v>1.0441000000000001E-2</v>
      </c>
      <c r="I20">
        <v>1.058602E-2</v>
      </c>
      <c r="J20" s="2">
        <v>1420</v>
      </c>
      <c r="K20" s="2">
        <v>1</v>
      </c>
      <c r="L20" s="2">
        <v>21790.026000000002</v>
      </c>
      <c r="M20">
        <f t="shared" si="1"/>
        <v>8</v>
      </c>
      <c r="N20">
        <f t="shared" si="0"/>
        <v>3094.2100000000028</v>
      </c>
    </row>
    <row r="21" spans="1:14" x14ac:dyDescent="0.2">
      <c r="A21" t="s">
        <v>11</v>
      </c>
      <c r="B21" s="10" t="s">
        <v>32</v>
      </c>
      <c r="C21">
        <v>2</v>
      </c>
      <c r="D21">
        <v>1</v>
      </c>
      <c r="E21">
        <v>40</v>
      </c>
      <c r="F21">
        <v>1000</v>
      </c>
      <c r="G21">
        <v>39907</v>
      </c>
      <c r="H21">
        <v>9.9750000000000005E-2</v>
      </c>
      <c r="I21">
        <v>0.10255694</v>
      </c>
      <c r="J21" s="14">
        <v>14174</v>
      </c>
      <c r="K21" s="14">
        <v>1</v>
      </c>
      <c r="L21" s="14">
        <v>289712.07900000003</v>
      </c>
      <c r="M21">
        <f t="shared" si="1"/>
        <v>42</v>
      </c>
      <c r="N21">
        <f t="shared" si="0"/>
        <v>11497.885999999999</v>
      </c>
    </row>
    <row r="22" spans="1:14" x14ac:dyDescent="0.2">
      <c r="A22" t="s">
        <v>11</v>
      </c>
      <c r="B22" s="10" t="s">
        <v>33</v>
      </c>
      <c r="C22">
        <v>2</v>
      </c>
      <c r="D22">
        <v>1</v>
      </c>
      <c r="E22">
        <v>40</v>
      </c>
      <c r="F22">
        <v>10000</v>
      </c>
      <c r="G22">
        <v>396791</v>
      </c>
      <c r="H22">
        <v>0.93147400000000002</v>
      </c>
      <c r="I22">
        <v>0.93528317999999999</v>
      </c>
      <c r="J22" s="4">
        <v>139940</v>
      </c>
      <c r="K22" s="4">
        <v>1</v>
      </c>
      <c r="L22" s="4">
        <v>3905536.0529999998</v>
      </c>
      <c r="M22">
        <f t="shared" si="1"/>
        <v>154</v>
      </c>
      <c r="N22">
        <f t="shared" si="0"/>
        <v>-41433120.666999996</v>
      </c>
    </row>
    <row r="23" spans="1:14" x14ac:dyDescent="0.2">
      <c r="A23" t="s">
        <v>11</v>
      </c>
      <c r="B23" s="10" t="s">
        <v>34</v>
      </c>
      <c r="C23">
        <v>2</v>
      </c>
      <c r="D23">
        <v>1</v>
      </c>
      <c r="E23">
        <v>80</v>
      </c>
      <c r="F23">
        <v>100</v>
      </c>
      <c r="G23">
        <v>7916</v>
      </c>
      <c r="H23">
        <v>2.0031E-2</v>
      </c>
      <c r="I23">
        <v>2.0530940000000001E-2</v>
      </c>
      <c r="J23" s="13">
        <v>2730</v>
      </c>
      <c r="K23" s="13">
        <v>1</v>
      </c>
      <c r="L23" s="13">
        <v>232603.261</v>
      </c>
      <c r="M23">
        <f t="shared" si="1"/>
        <v>45</v>
      </c>
      <c r="N23">
        <f t="shared" si="0"/>
        <v>21623.690999999992</v>
      </c>
    </row>
    <row r="24" spans="1:14" x14ac:dyDescent="0.2">
      <c r="A24" t="s">
        <v>11</v>
      </c>
      <c r="B24" s="10" t="s">
        <v>35</v>
      </c>
      <c r="C24">
        <v>2</v>
      </c>
      <c r="D24">
        <v>1</v>
      </c>
      <c r="E24">
        <v>80</v>
      </c>
      <c r="F24">
        <v>1000</v>
      </c>
      <c r="G24">
        <v>78657</v>
      </c>
      <c r="H24">
        <v>0.18313499999999999</v>
      </c>
      <c r="I24">
        <v>0.18543506000000001</v>
      </c>
      <c r="J24" s="3">
        <v>26350</v>
      </c>
      <c r="K24" s="3">
        <v>1</v>
      </c>
      <c r="L24" s="3">
        <v>2827274.4309999999</v>
      </c>
      <c r="M24">
        <f t="shared" si="1"/>
        <v>83</v>
      </c>
      <c r="N24">
        <f t="shared" si="0"/>
        <v>155657.54499999993</v>
      </c>
    </row>
    <row r="25" spans="1:14" x14ac:dyDescent="0.2">
      <c r="A25" t="s">
        <v>11</v>
      </c>
      <c r="B25" s="10" t="s">
        <v>36</v>
      </c>
      <c r="C25">
        <v>2</v>
      </c>
      <c r="D25">
        <v>1</v>
      </c>
      <c r="E25">
        <v>80</v>
      </c>
      <c r="F25">
        <v>10000</v>
      </c>
      <c r="G25">
        <v>791251</v>
      </c>
      <c r="H25">
        <v>1.914431</v>
      </c>
      <c r="I25">
        <v>1.9443078</v>
      </c>
      <c r="J25" s="1">
        <v>263235</v>
      </c>
      <c r="K25" s="1">
        <v>1</v>
      </c>
      <c r="L25" s="12">
        <v>37900000</v>
      </c>
      <c r="M25">
        <f>J25-J13</f>
        <v>50</v>
      </c>
      <c r="N25">
        <f t="shared" si="0"/>
        <v>-4594919.7800000012</v>
      </c>
    </row>
    <row r="26" spans="1:14" x14ac:dyDescent="0.2">
      <c r="A26" t="s">
        <v>11</v>
      </c>
      <c r="B26" s="10" t="s">
        <v>37</v>
      </c>
      <c r="C26">
        <v>3</v>
      </c>
      <c r="D26">
        <v>2</v>
      </c>
      <c r="E26">
        <v>10</v>
      </c>
      <c r="F26">
        <v>100</v>
      </c>
      <c r="G26">
        <v>997</v>
      </c>
      <c r="H26">
        <v>5.7159999999999997E-3</v>
      </c>
      <c r="I26">
        <v>5.9258899999999996E-3</v>
      </c>
      <c r="J26">
        <v>354</v>
      </c>
      <c r="K26">
        <v>1</v>
      </c>
      <c r="L26" s="11">
        <v>279.27300000000002</v>
      </c>
      <c r="M26">
        <f t="shared" si="1"/>
        <v>6</v>
      </c>
      <c r="N26">
        <f t="shared" si="0"/>
        <v>42.624000000000024</v>
      </c>
    </row>
    <row r="27" spans="1:14" x14ac:dyDescent="0.2">
      <c r="A27" t="s">
        <v>11</v>
      </c>
      <c r="B27" s="10" t="s">
        <v>38</v>
      </c>
      <c r="C27">
        <v>3</v>
      </c>
      <c r="D27">
        <v>2</v>
      </c>
      <c r="E27">
        <v>10</v>
      </c>
      <c r="F27">
        <v>1000</v>
      </c>
      <c r="G27">
        <v>9997</v>
      </c>
      <c r="H27">
        <v>2.6468999999999999E-2</v>
      </c>
      <c r="I27">
        <v>2.6546E-2</v>
      </c>
      <c r="J27" s="7">
        <v>3372</v>
      </c>
      <c r="K27" s="7">
        <v>4</v>
      </c>
      <c r="L27" s="7">
        <v>1964.9770000000001</v>
      </c>
      <c r="M27">
        <f t="shared" si="1"/>
        <v>14</v>
      </c>
      <c r="N27">
        <f t="shared" si="0"/>
        <v>86.758000000000038</v>
      </c>
    </row>
    <row r="28" spans="1:14" x14ac:dyDescent="0.2">
      <c r="A28" t="s">
        <v>11</v>
      </c>
      <c r="B28" s="10" t="s">
        <v>39</v>
      </c>
      <c r="C28">
        <v>3</v>
      </c>
      <c r="D28">
        <v>2</v>
      </c>
      <c r="E28">
        <v>10</v>
      </c>
      <c r="F28">
        <v>10000</v>
      </c>
      <c r="G28">
        <v>99600</v>
      </c>
      <c r="H28">
        <v>0.28694700000000001</v>
      </c>
      <c r="I28">
        <v>0.30184817000000003</v>
      </c>
      <c r="J28" s="16">
        <v>33303</v>
      </c>
      <c r="K28" s="16">
        <v>2</v>
      </c>
      <c r="L28" s="16">
        <v>20333.065999999999</v>
      </c>
      <c r="M28">
        <f t="shared" si="1"/>
        <v>24</v>
      </c>
      <c r="N28">
        <f t="shared" si="0"/>
        <v>-12695.450000000004</v>
      </c>
    </row>
    <row r="29" spans="1:14" x14ac:dyDescent="0.2">
      <c r="A29" t="s">
        <v>11</v>
      </c>
      <c r="B29" s="10" t="s">
        <v>40</v>
      </c>
      <c r="C29">
        <v>3</v>
      </c>
      <c r="D29">
        <v>2</v>
      </c>
      <c r="E29">
        <v>20</v>
      </c>
      <c r="F29">
        <v>100</v>
      </c>
      <c r="G29">
        <v>1987</v>
      </c>
      <c r="H29">
        <v>8.6650000000000008E-3</v>
      </c>
      <c r="I29">
        <v>9.4437600000000007E-3</v>
      </c>
      <c r="J29" s="5">
        <v>703</v>
      </c>
      <c r="K29" s="5">
        <v>1</v>
      </c>
      <c r="L29" s="5">
        <v>2198.3649999999998</v>
      </c>
      <c r="M29">
        <f t="shared" si="1"/>
        <v>10</v>
      </c>
      <c r="N29">
        <f t="shared" si="0"/>
        <v>-787.68299999999999</v>
      </c>
    </row>
    <row r="30" spans="1:14" x14ac:dyDescent="0.2">
      <c r="A30" t="s">
        <v>11</v>
      </c>
      <c r="B30" s="10" t="s">
        <v>41</v>
      </c>
      <c r="C30">
        <v>3</v>
      </c>
      <c r="D30">
        <v>2</v>
      </c>
      <c r="E30">
        <v>20</v>
      </c>
      <c r="F30">
        <v>1000</v>
      </c>
      <c r="G30">
        <v>19983</v>
      </c>
      <c r="H30">
        <v>4.8845E-2</v>
      </c>
      <c r="I30">
        <v>4.9627070000000002E-2</v>
      </c>
      <c r="J30" s="6">
        <v>7046</v>
      </c>
      <c r="K30" s="6">
        <v>1</v>
      </c>
      <c r="L30" s="6">
        <v>28775.846000000001</v>
      </c>
      <c r="M30">
        <f t="shared" si="1"/>
        <v>35</v>
      </c>
      <c r="N30">
        <f t="shared" si="0"/>
        <v>770.3650000000016</v>
      </c>
    </row>
    <row r="31" spans="1:14" x14ac:dyDescent="0.2">
      <c r="A31" t="s">
        <v>11</v>
      </c>
      <c r="B31" s="10" t="s">
        <v>42</v>
      </c>
      <c r="C31">
        <v>3</v>
      </c>
      <c r="D31">
        <v>2</v>
      </c>
      <c r="E31">
        <v>20</v>
      </c>
      <c r="F31">
        <v>10000</v>
      </c>
      <c r="G31">
        <v>198677</v>
      </c>
      <c r="H31">
        <v>0.52512599999999998</v>
      </c>
      <c r="I31">
        <v>0.53225803000000005</v>
      </c>
      <c r="J31" s="15">
        <v>69415</v>
      </c>
      <c r="K31" s="15">
        <v>1</v>
      </c>
      <c r="L31" s="15">
        <v>296511.65600000002</v>
      </c>
      <c r="M31">
        <f t="shared" si="1"/>
        <v>23</v>
      </c>
      <c r="N31">
        <f t="shared" si="0"/>
        <v>-60667.445999999996</v>
      </c>
    </row>
    <row r="32" spans="1:14" x14ac:dyDescent="0.2">
      <c r="A32" t="s">
        <v>11</v>
      </c>
      <c r="B32" s="10" t="s">
        <v>43</v>
      </c>
      <c r="C32">
        <v>3</v>
      </c>
      <c r="D32">
        <v>2</v>
      </c>
      <c r="E32">
        <v>40</v>
      </c>
      <c r="F32">
        <v>100</v>
      </c>
      <c r="G32">
        <v>3965</v>
      </c>
      <c r="H32">
        <v>1.0083999999999999E-2</v>
      </c>
      <c r="I32">
        <v>1.010609E-2</v>
      </c>
      <c r="J32" s="2">
        <v>1449</v>
      </c>
      <c r="K32" s="2">
        <v>1</v>
      </c>
      <c r="L32" s="2">
        <v>25535.506000000001</v>
      </c>
      <c r="M32">
        <f t="shared" si="1"/>
        <v>29</v>
      </c>
      <c r="N32">
        <f t="shared" si="0"/>
        <v>3745.4799999999996</v>
      </c>
    </row>
    <row r="33" spans="1:14" x14ac:dyDescent="0.2">
      <c r="A33" t="s">
        <v>11</v>
      </c>
      <c r="B33" s="10" t="s">
        <v>44</v>
      </c>
      <c r="C33">
        <v>3</v>
      </c>
      <c r="D33">
        <v>2</v>
      </c>
      <c r="E33">
        <v>40</v>
      </c>
      <c r="F33">
        <v>1000</v>
      </c>
      <c r="G33">
        <v>39907</v>
      </c>
      <c r="H33">
        <v>9.6226000000000006E-2</v>
      </c>
      <c r="I33">
        <v>9.8910090000000006E-2</v>
      </c>
      <c r="J33" s="14">
        <v>14246</v>
      </c>
      <c r="K33" s="14">
        <v>1</v>
      </c>
      <c r="L33" s="14">
        <v>254567.21599999999</v>
      </c>
      <c r="M33">
        <f t="shared" si="1"/>
        <v>72</v>
      </c>
      <c r="N33">
        <f t="shared" si="0"/>
        <v>-35144.863000000041</v>
      </c>
    </row>
    <row r="34" spans="1:14" x14ac:dyDescent="0.2">
      <c r="A34" t="s">
        <v>11</v>
      </c>
      <c r="B34" s="10" t="s">
        <v>45</v>
      </c>
      <c r="C34">
        <v>3</v>
      </c>
      <c r="D34">
        <v>2</v>
      </c>
      <c r="E34">
        <v>40</v>
      </c>
      <c r="F34">
        <v>10000</v>
      </c>
      <c r="G34">
        <v>396791</v>
      </c>
      <c r="H34">
        <v>0.96683200000000002</v>
      </c>
      <c r="I34">
        <v>0.98024106</v>
      </c>
      <c r="J34" s="4">
        <v>139955</v>
      </c>
      <c r="K34" s="4">
        <v>1</v>
      </c>
      <c r="L34" s="4">
        <v>3287602.4130000002</v>
      </c>
      <c r="M34">
        <f t="shared" si="1"/>
        <v>15</v>
      </c>
      <c r="N34">
        <f t="shared" si="0"/>
        <v>-617933.63999999966</v>
      </c>
    </row>
    <row r="35" spans="1:14" x14ac:dyDescent="0.2">
      <c r="A35" t="s">
        <v>11</v>
      </c>
      <c r="B35" s="10" t="s">
        <v>46</v>
      </c>
      <c r="C35">
        <v>3</v>
      </c>
      <c r="D35">
        <v>2</v>
      </c>
      <c r="E35">
        <v>80</v>
      </c>
      <c r="F35">
        <v>100</v>
      </c>
      <c r="G35">
        <v>7916</v>
      </c>
      <c r="H35">
        <v>2.0459999999999999E-2</v>
      </c>
      <c r="I35">
        <v>2.1188019999999998E-2</v>
      </c>
      <c r="J35" s="13">
        <v>2721</v>
      </c>
      <c r="K35" s="13">
        <v>1</v>
      </c>
      <c r="L35" s="13">
        <v>280824.21299999999</v>
      </c>
      <c r="M35">
        <f>J35-J23</f>
        <v>-9</v>
      </c>
      <c r="N35">
        <f t="shared" si="0"/>
        <v>48220.95199999999</v>
      </c>
    </row>
    <row r="36" spans="1:14" x14ac:dyDescent="0.2">
      <c r="A36" t="s">
        <v>11</v>
      </c>
      <c r="B36" s="10" t="s">
        <v>47</v>
      </c>
      <c r="C36">
        <v>3</v>
      </c>
      <c r="D36">
        <v>2</v>
      </c>
      <c r="E36">
        <v>80</v>
      </c>
      <c r="F36">
        <v>1000</v>
      </c>
      <c r="G36">
        <v>78657</v>
      </c>
      <c r="H36">
        <v>0.19505700000000001</v>
      </c>
      <c r="I36">
        <v>0.19804478</v>
      </c>
      <c r="J36" s="3">
        <v>26424</v>
      </c>
      <c r="K36" s="3">
        <v>1</v>
      </c>
      <c r="L36" s="3">
        <v>2449525.5249999999</v>
      </c>
      <c r="M36">
        <f t="shared" si="1"/>
        <v>74</v>
      </c>
      <c r="N36">
        <f t="shared" si="0"/>
        <v>-377748.90599999996</v>
      </c>
    </row>
    <row r="37" spans="1:14" x14ac:dyDescent="0.2">
      <c r="A37" t="s">
        <v>11</v>
      </c>
      <c r="B37" s="10" t="s">
        <v>48</v>
      </c>
      <c r="C37">
        <v>3</v>
      </c>
      <c r="D37">
        <v>2</v>
      </c>
      <c r="E37">
        <v>80</v>
      </c>
      <c r="F37">
        <v>10000</v>
      </c>
      <c r="G37">
        <v>791251</v>
      </c>
      <c r="H37">
        <v>2.0209060000000001</v>
      </c>
      <c r="I37">
        <v>2.18471408</v>
      </c>
      <c r="J37" s="1">
        <v>263377</v>
      </c>
      <c r="K37" s="1">
        <v>1</v>
      </c>
      <c r="L37" s="12">
        <v>34286475.689999998</v>
      </c>
      <c r="M37">
        <f t="shared" si="1"/>
        <v>142</v>
      </c>
      <c r="N37">
        <f t="shared" si="0"/>
        <v>-3613524.3100000024</v>
      </c>
    </row>
    <row r="38" spans="1:14" x14ac:dyDescent="0.2">
      <c r="A38" t="s">
        <v>11</v>
      </c>
      <c r="B38" s="10" t="s">
        <v>49</v>
      </c>
      <c r="C38">
        <v>5</v>
      </c>
      <c r="D38">
        <v>4</v>
      </c>
      <c r="E38">
        <v>10</v>
      </c>
      <c r="F38">
        <v>100</v>
      </c>
      <c r="G38">
        <v>997</v>
      </c>
      <c r="H38">
        <v>3.3670000000000002E-3</v>
      </c>
      <c r="I38">
        <v>3.3659900000000001E-3</v>
      </c>
      <c r="J38">
        <v>357</v>
      </c>
      <c r="K38">
        <v>2</v>
      </c>
      <c r="L38" s="11">
        <v>280.84100000000001</v>
      </c>
      <c r="M38">
        <f t="shared" si="1"/>
        <v>3</v>
      </c>
      <c r="N38">
        <f t="shared" si="0"/>
        <v>1.5679999999999836</v>
      </c>
    </row>
    <row r="39" spans="1:14" x14ac:dyDescent="0.2">
      <c r="A39" t="s">
        <v>11</v>
      </c>
      <c r="B39" s="10" t="s">
        <v>50</v>
      </c>
      <c r="C39">
        <v>5</v>
      </c>
      <c r="D39">
        <v>4</v>
      </c>
      <c r="E39">
        <v>10</v>
      </c>
      <c r="F39">
        <v>1000</v>
      </c>
      <c r="G39">
        <v>9997</v>
      </c>
      <c r="H39">
        <v>2.7307000000000001E-2</v>
      </c>
      <c r="I39">
        <v>2.75619E-2</v>
      </c>
      <c r="J39" s="7">
        <v>3367</v>
      </c>
      <c r="K39" s="7">
        <v>3</v>
      </c>
      <c r="L39" s="7">
        <v>2376.107</v>
      </c>
      <c r="M39">
        <f t="shared" si="1"/>
        <v>-5</v>
      </c>
      <c r="N39">
        <f t="shared" si="0"/>
        <v>411.12999999999988</v>
      </c>
    </row>
    <row r="40" spans="1:14" x14ac:dyDescent="0.2">
      <c r="A40" t="s">
        <v>11</v>
      </c>
      <c r="B40" s="10" t="s">
        <v>51</v>
      </c>
      <c r="C40">
        <v>5</v>
      </c>
      <c r="D40">
        <v>4</v>
      </c>
      <c r="E40">
        <v>10</v>
      </c>
      <c r="F40">
        <v>10000</v>
      </c>
      <c r="G40">
        <v>99600</v>
      </c>
      <c r="H40">
        <v>0.29297600000000001</v>
      </c>
      <c r="I40">
        <v>0.30019212000000001</v>
      </c>
      <c r="J40" s="16">
        <v>33332</v>
      </c>
      <c r="K40" s="16">
        <v>2</v>
      </c>
      <c r="L40" s="16">
        <v>24581.168000000001</v>
      </c>
      <c r="M40">
        <f t="shared" si="1"/>
        <v>29</v>
      </c>
      <c r="N40">
        <f t="shared" si="0"/>
        <v>4248.1020000000026</v>
      </c>
    </row>
    <row r="41" spans="1:14" x14ac:dyDescent="0.2">
      <c r="A41" t="s">
        <v>11</v>
      </c>
      <c r="B41" s="10" t="s">
        <v>52</v>
      </c>
      <c r="C41">
        <v>5</v>
      </c>
      <c r="D41">
        <v>4</v>
      </c>
      <c r="E41">
        <v>20</v>
      </c>
      <c r="F41">
        <v>100</v>
      </c>
      <c r="G41">
        <v>1987</v>
      </c>
      <c r="H41">
        <v>5.5459999999999997E-3</v>
      </c>
      <c r="I41">
        <v>5.5470500000000004E-3</v>
      </c>
      <c r="J41" s="5">
        <v>713</v>
      </c>
      <c r="K41" s="5">
        <v>1</v>
      </c>
      <c r="L41" s="5">
        <v>3200.8090000000002</v>
      </c>
      <c r="M41">
        <f t="shared" si="1"/>
        <v>10</v>
      </c>
      <c r="N41">
        <f t="shared" si="0"/>
        <v>1002.4440000000004</v>
      </c>
    </row>
    <row r="42" spans="1:14" x14ac:dyDescent="0.2">
      <c r="A42" t="s">
        <v>11</v>
      </c>
      <c r="B42" s="10" t="s">
        <v>53</v>
      </c>
      <c r="C42">
        <v>5</v>
      </c>
      <c r="D42">
        <v>4</v>
      </c>
      <c r="E42">
        <v>20</v>
      </c>
      <c r="F42">
        <v>1000</v>
      </c>
      <c r="G42">
        <v>19983</v>
      </c>
      <c r="H42">
        <v>5.3247999999999997E-2</v>
      </c>
      <c r="I42">
        <v>5.4213049999999999E-2</v>
      </c>
      <c r="J42" s="6">
        <v>7068</v>
      </c>
      <c r="K42" s="6">
        <v>1</v>
      </c>
      <c r="L42" s="6">
        <v>27242.362000000001</v>
      </c>
      <c r="M42">
        <f t="shared" si="1"/>
        <v>22</v>
      </c>
      <c r="N42">
        <f t="shared" si="0"/>
        <v>-1533.4840000000004</v>
      </c>
    </row>
    <row r="43" spans="1:14" x14ac:dyDescent="0.2">
      <c r="A43" t="s">
        <v>11</v>
      </c>
      <c r="B43" s="10" t="s">
        <v>54</v>
      </c>
      <c r="C43">
        <v>5</v>
      </c>
      <c r="D43">
        <v>4</v>
      </c>
      <c r="E43">
        <v>20</v>
      </c>
      <c r="F43">
        <v>10000</v>
      </c>
      <c r="G43">
        <v>198677</v>
      </c>
      <c r="H43">
        <v>0.48879499999999998</v>
      </c>
      <c r="I43">
        <v>0.49281978999999998</v>
      </c>
      <c r="J43" s="15">
        <v>69489</v>
      </c>
      <c r="K43" s="15">
        <v>1</v>
      </c>
      <c r="L43" s="15">
        <v>315767.81300000002</v>
      </c>
      <c r="M43">
        <f t="shared" si="1"/>
        <v>74</v>
      </c>
      <c r="N43">
        <f t="shared" si="0"/>
        <v>19256.157000000007</v>
      </c>
    </row>
    <row r="44" spans="1:14" x14ac:dyDescent="0.2">
      <c r="A44" t="s">
        <v>11</v>
      </c>
      <c r="B44" s="10" t="s">
        <v>55</v>
      </c>
      <c r="C44">
        <v>5</v>
      </c>
      <c r="D44">
        <v>4</v>
      </c>
      <c r="E44">
        <v>40</v>
      </c>
      <c r="F44">
        <v>100</v>
      </c>
      <c r="G44">
        <v>3965</v>
      </c>
      <c r="H44">
        <v>1.0599000000000001E-2</v>
      </c>
      <c r="I44">
        <v>1.083803E-2</v>
      </c>
      <c r="J44" s="2">
        <v>1461</v>
      </c>
      <c r="K44" s="2">
        <v>1</v>
      </c>
      <c r="L44" s="2">
        <v>28993.989000000001</v>
      </c>
      <c r="M44">
        <f t="shared" si="1"/>
        <v>12</v>
      </c>
      <c r="N44">
        <f t="shared" si="0"/>
        <v>3458.4830000000002</v>
      </c>
    </row>
    <row r="45" spans="1:14" x14ac:dyDescent="0.2">
      <c r="A45" t="s">
        <v>11</v>
      </c>
      <c r="B45" s="10" t="s">
        <v>56</v>
      </c>
      <c r="C45">
        <v>5</v>
      </c>
      <c r="D45">
        <v>4</v>
      </c>
      <c r="E45">
        <v>40</v>
      </c>
      <c r="F45">
        <v>1000</v>
      </c>
      <c r="G45">
        <v>39907</v>
      </c>
      <c r="H45">
        <v>9.2087000000000002E-2</v>
      </c>
      <c r="I45">
        <v>9.2258930000000003E-2</v>
      </c>
      <c r="J45" s="14">
        <v>14330</v>
      </c>
      <c r="K45" s="14">
        <v>1</v>
      </c>
      <c r="L45" s="14">
        <v>269092.35499999998</v>
      </c>
      <c r="M45">
        <f t="shared" si="1"/>
        <v>84</v>
      </c>
      <c r="N45">
        <f t="shared" si="0"/>
        <v>14525.138999999996</v>
      </c>
    </row>
    <row r="46" spans="1:14" x14ac:dyDescent="0.2">
      <c r="A46" t="s">
        <v>11</v>
      </c>
      <c r="B46" s="10" t="s">
        <v>57</v>
      </c>
      <c r="C46">
        <v>5</v>
      </c>
      <c r="D46">
        <v>4</v>
      </c>
      <c r="E46">
        <v>40</v>
      </c>
      <c r="F46">
        <v>10000</v>
      </c>
      <c r="G46">
        <v>396791</v>
      </c>
      <c r="H46">
        <v>0.94772500000000004</v>
      </c>
      <c r="I46">
        <v>0.95472908000000001</v>
      </c>
      <c r="J46" s="4">
        <v>140173</v>
      </c>
      <c r="K46" s="4">
        <v>1</v>
      </c>
      <c r="L46" s="4">
        <v>2955897.6979999999</v>
      </c>
      <c r="M46">
        <f t="shared" si="1"/>
        <v>218</v>
      </c>
      <c r="N46">
        <f t="shared" si="0"/>
        <v>-331704.71500000032</v>
      </c>
    </row>
    <row r="47" spans="1:14" x14ac:dyDescent="0.2">
      <c r="A47" t="s">
        <v>11</v>
      </c>
      <c r="B47" s="10" t="s">
        <v>58</v>
      </c>
      <c r="C47">
        <v>5</v>
      </c>
      <c r="D47">
        <v>4</v>
      </c>
      <c r="E47">
        <v>80</v>
      </c>
      <c r="F47">
        <v>100</v>
      </c>
      <c r="G47">
        <v>7916</v>
      </c>
      <c r="H47">
        <v>2.1644E-2</v>
      </c>
      <c r="I47">
        <v>2.2154090000000001E-2</v>
      </c>
      <c r="J47" s="13">
        <v>2773</v>
      </c>
      <c r="K47" s="13">
        <v>1</v>
      </c>
      <c r="L47" s="13">
        <v>261753.77900000001</v>
      </c>
      <c r="M47">
        <f t="shared" si="1"/>
        <v>52</v>
      </c>
      <c r="N47">
        <f t="shared" si="0"/>
        <v>-19070.433999999979</v>
      </c>
    </row>
    <row r="48" spans="1:14" x14ac:dyDescent="0.2">
      <c r="A48" t="s">
        <v>11</v>
      </c>
      <c r="B48" s="10" t="s">
        <v>59</v>
      </c>
      <c r="C48">
        <v>5</v>
      </c>
      <c r="D48">
        <v>4</v>
      </c>
      <c r="E48">
        <v>80</v>
      </c>
      <c r="F48">
        <v>1000</v>
      </c>
      <c r="G48">
        <v>78657</v>
      </c>
      <c r="H48">
        <v>0.18748200000000001</v>
      </c>
      <c r="I48">
        <v>0.18853974000000001</v>
      </c>
      <c r="J48" s="3">
        <v>26530</v>
      </c>
      <c r="K48" s="3">
        <v>1</v>
      </c>
      <c r="L48" s="3">
        <v>2620800.5060000001</v>
      </c>
      <c r="M48">
        <f t="shared" si="1"/>
        <v>106</v>
      </c>
      <c r="N48">
        <f t="shared" si="0"/>
        <v>171274.98100000015</v>
      </c>
    </row>
    <row r="49" spans="1:14" x14ac:dyDescent="0.2">
      <c r="A49" t="s">
        <v>11</v>
      </c>
      <c r="B49" s="10" t="s">
        <v>60</v>
      </c>
      <c r="C49">
        <v>5</v>
      </c>
      <c r="D49">
        <v>4</v>
      </c>
      <c r="E49">
        <v>80</v>
      </c>
      <c r="F49">
        <v>10000</v>
      </c>
      <c r="G49">
        <v>791251</v>
      </c>
      <c r="H49">
        <v>1.9845900000000001</v>
      </c>
      <c r="I49">
        <v>2.0390899199999999</v>
      </c>
      <c r="J49" s="1">
        <v>263756</v>
      </c>
      <c r="K49" s="1">
        <v>1</v>
      </c>
      <c r="L49" s="1">
        <v>33568826.344999999</v>
      </c>
      <c r="M49">
        <f t="shared" si="1"/>
        <v>379</v>
      </c>
      <c r="N49">
        <f t="shared" si="0"/>
        <v>-717649.34499999881</v>
      </c>
    </row>
    <row r="50" spans="1:14" x14ac:dyDescent="0.2">
      <c r="A50" t="s">
        <v>11</v>
      </c>
      <c r="B50" s="10" t="s">
        <v>61</v>
      </c>
      <c r="C50">
        <v>9</v>
      </c>
      <c r="D50">
        <v>8</v>
      </c>
      <c r="E50">
        <v>10</v>
      </c>
      <c r="F50">
        <v>100</v>
      </c>
      <c r="G50">
        <v>997</v>
      </c>
      <c r="H50">
        <v>3.4970000000000001E-3</v>
      </c>
      <c r="I50">
        <v>3.4968899999999999E-3</v>
      </c>
      <c r="J50">
        <v>362</v>
      </c>
      <c r="K50">
        <v>4</v>
      </c>
      <c r="L50" s="11">
        <v>333.63400000000001</v>
      </c>
      <c r="M50">
        <f t="shared" si="1"/>
        <v>5</v>
      </c>
      <c r="N50">
        <f t="shared" si="0"/>
        <v>52.793000000000006</v>
      </c>
    </row>
    <row r="51" spans="1:14" x14ac:dyDescent="0.2">
      <c r="A51" t="s">
        <v>11</v>
      </c>
      <c r="B51" s="10" t="s">
        <v>62</v>
      </c>
      <c r="C51">
        <v>9</v>
      </c>
      <c r="D51">
        <v>8</v>
      </c>
      <c r="E51">
        <v>10</v>
      </c>
      <c r="F51">
        <v>1000</v>
      </c>
      <c r="G51">
        <v>9997</v>
      </c>
      <c r="H51">
        <v>2.6551999999999999E-2</v>
      </c>
      <c r="I51">
        <v>2.656698E-2</v>
      </c>
      <c r="J51" s="7">
        <v>3398</v>
      </c>
      <c r="K51" s="7">
        <v>3</v>
      </c>
      <c r="L51" s="7">
        <v>2938.3180000000002</v>
      </c>
      <c r="M51">
        <f t="shared" si="1"/>
        <v>31</v>
      </c>
      <c r="N51">
        <f t="shared" si="0"/>
        <v>562.21100000000024</v>
      </c>
    </row>
    <row r="52" spans="1:14" x14ac:dyDescent="0.2">
      <c r="A52" t="s">
        <v>11</v>
      </c>
      <c r="B52" s="10" t="s">
        <v>63</v>
      </c>
      <c r="C52">
        <v>9</v>
      </c>
      <c r="D52">
        <v>8</v>
      </c>
      <c r="E52">
        <v>10</v>
      </c>
      <c r="F52">
        <v>10000</v>
      </c>
      <c r="G52">
        <v>99600</v>
      </c>
      <c r="H52">
        <v>0.266816</v>
      </c>
      <c r="I52">
        <v>0.26821113000000002</v>
      </c>
      <c r="J52" s="16">
        <v>33372</v>
      </c>
      <c r="K52" s="16">
        <v>2</v>
      </c>
      <c r="L52" s="16">
        <v>24548.451000000001</v>
      </c>
      <c r="M52">
        <f t="shared" si="1"/>
        <v>40</v>
      </c>
      <c r="N52">
        <f t="shared" si="0"/>
        <v>-32.717000000000553</v>
      </c>
    </row>
    <row r="53" spans="1:14" x14ac:dyDescent="0.2">
      <c r="A53" t="s">
        <v>11</v>
      </c>
      <c r="B53" s="10" t="s">
        <v>64</v>
      </c>
      <c r="C53">
        <v>9</v>
      </c>
      <c r="D53">
        <v>8</v>
      </c>
      <c r="E53">
        <v>20</v>
      </c>
      <c r="F53">
        <v>100</v>
      </c>
      <c r="G53">
        <v>1987</v>
      </c>
      <c r="H53">
        <v>5.9230000000000003E-3</v>
      </c>
      <c r="I53">
        <v>5.9766799999999998E-3</v>
      </c>
      <c r="J53" s="5">
        <v>735</v>
      </c>
      <c r="K53" s="5">
        <v>1</v>
      </c>
      <c r="L53" s="5">
        <v>3408.1559999999999</v>
      </c>
      <c r="M53">
        <f t="shared" si="1"/>
        <v>22</v>
      </c>
      <c r="N53">
        <f t="shared" si="0"/>
        <v>207.34699999999975</v>
      </c>
    </row>
    <row r="54" spans="1:14" x14ac:dyDescent="0.2">
      <c r="A54" t="s">
        <v>11</v>
      </c>
      <c r="B54" s="10" t="s">
        <v>65</v>
      </c>
      <c r="C54">
        <v>9</v>
      </c>
      <c r="D54">
        <v>8</v>
      </c>
      <c r="E54">
        <v>20</v>
      </c>
      <c r="F54">
        <v>1000</v>
      </c>
      <c r="G54">
        <v>19983</v>
      </c>
      <c r="H54">
        <v>5.0900000000000001E-2</v>
      </c>
      <c r="I54">
        <v>5.166602E-2</v>
      </c>
      <c r="J54" s="6">
        <v>7126</v>
      </c>
      <c r="K54" s="6">
        <v>1</v>
      </c>
      <c r="L54" s="6">
        <v>25231.822</v>
      </c>
      <c r="M54">
        <f t="shared" si="1"/>
        <v>58</v>
      </c>
      <c r="N54">
        <f t="shared" si="0"/>
        <v>-2010.5400000000009</v>
      </c>
    </row>
    <row r="55" spans="1:14" x14ac:dyDescent="0.2">
      <c r="A55" t="s">
        <v>11</v>
      </c>
      <c r="B55" s="10" t="s">
        <v>66</v>
      </c>
      <c r="C55">
        <v>9</v>
      </c>
      <c r="D55">
        <v>8</v>
      </c>
      <c r="E55">
        <v>20</v>
      </c>
      <c r="F55">
        <v>10000</v>
      </c>
      <c r="G55">
        <v>198677</v>
      </c>
      <c r="H55">
        <v>0.490371</v>
      </c>
      <c r="I55">
        <v>0.49296688999999999</v>
      </c>
      <c r="J55" s="15">
        <v>69610</v>
      </c>
      <c r="K55" s="15">
        <v>1</v>
      </c>
      <c r="L55" s="15">
        <v>286165.16700000002</v>
      </c>
      <c r="M55">
        <f t="shared" si="1"/>
        <v>121</v>
      </c>
      <c r="N55">
        <f t="shared" si="0"/>
        <v>-29602.646000000008</v>
      </c>
    </row>
    <row r="56" spans="1:14" x14ac:dyDescent="0.2">
      <c r="A56" t="s">
        <v>11</v>
      </c>
      <c r="B56" s="10" t="s">
        <v>67</v>
      </c>
      <c r="C56">
        <v>9</v>
      </c>
      <c r="D56">
        <v>8</v>
      </c>
      <c r="E56">
        <v>40</v>
      </c>
      <c r="F56">
        <v>100</v>
      </c>
      <c r="G56">
        <v>3965</v>
      </c>
      <c r="H56">
        <v>1.1346999999999999E-2</v>
      </c>
      <c r="I56">
        <v>1.188374E-2</v>
      </c>
      <c r="J56" s="2">
        <v>1508</v>
      </c>
      <c r="K56" s="2">
        <v>1</v>
      </c>
      <c r="L56" s="2">
        <v>31647.780999999999</v>
      </c>
      <c r="M56">
        <f t="shared" si="1"/>
        <v>47</v>
      </c>
      <c r="N56">
        <f t="shared" si="0"/>
        <v>2653.7919999999976</v>
      </c>
    </row>
    <row r="57" spans="1:14" x14ac:dyDescent="0.2">
      <c r="A57" t="s">
        <v>11</v>
      </c>
      <c r="B57" s="10" t="s">
        <v>68</v>
      </c>
      <c r="C57">
        <v>9</v>
      </c>
      <c r="D57">
        <v>8</v>
      </c>
      <c r="E57">
        <v>40</v>
      </c>
      <c r="F57">
        <v>1000</v>
      </c>
      <c r="G57">
        <v>39907</v>
      </c>
      <c r="H57">
        <v>9.1229000000000005E-2</v>
      </c>
      <c r="I57">
        <v>9.1556070000000003E-2</v>
      </c>
      <c r="J57" s="14">
        <v>14442</v>
      </c>
      <c r="K57" s="14">
        <v>1</v>
      </c>
      <c r="L57" s="14">
        <v>264146.01400000002</v>
      </c>
      <c r="M57">
        <f t="shared" si="1"/>
        <v>112</v>
      </c>
      <c r="N57">
        <f t="shared" si="0"/>
        <v>-4946.3409999999567</v>
      </c>
    </row>
    <row r="58" spans="1:14" x14ac:dyDescent="0.2">
      <c r="A58" t="s">
        <v>11</v>
      </c>
      <c r="B58" s="10" t="s">
        <v>69</v>
      </c>
      <c r="C58">
        <v>9</v>
      </c>
      <c r="D58">
        <v>8</v>
      </c>
      <c r="E58">
        <v>40</v>
      </c>
      <c r="F58">
        <v>10000</v>
      </c>
      <c r="G58">
        <v>396791</v>
      </c>
      <c r="H58">
        <v>0.91834300000000002</v>
      </c>
      <c r="I58">
        <v>0.92203212000000001</v>
      </c>
      <c r="J58" s="4">
        <v>140425</v>
      </c>
      <c r="K58" s="4">
        <v>1</v>
      </c>
      <c r="L58" s="4">
        <v>2942548.9959999998</v>
      </c>
      <c r="M58">
        <f t="shared" si="1"/>
        <v>252</v>
      </c>
      <c r="N58">
        <f t="shared" si="0"/>
        <v>-13348.702000000048</v>
      </c>
    </row>
    <row r="59" spans="1:14" x14ac:dyDescent="0.2">
      <c r="A59" t="s">
        <v>11</v>
      </c>
      <c r="B59" s="10" t="s">
        <v>70</v>
      </c>
      <c r="C59">
        <v>9</v>
      </c>
      <c r="D59">
        <v>8</v>
      </c>
      <c r="E59">
        <v>80</v>
      </c>
      <c r="F59">
        <v>100</v>
      </c>
      <c r="G59">
        <v>7916</v>
      </c>
      <c r="H59">
        <v>2.2168E-2</v>
      </c>
      <c r="I59">
        <v>2.246714E-2</v>
      </c>
      <c r="J59" s="13">
        <v>2848</v>
      </c>
      <c r="K59" s="13">
        <v>1</v>
      </c>
      <c r="L59" s="13">
        <v>292444.967</v>
      </c>
      <c r="M59">
        <f t="shared" si="1"/>
        <v>75</v>
      </c>
      <c r="N59">
        <f t="shared" si="0"/>
        <v>30691.187999999995</v>
      </c>
    </row>
    <row r="60" spans="1:14" x14ac:dyDescent="0.2">
      <c r="A60" t="s">
        <v>11</v>
      </c>
      <c r="B60" s="10" t="s">
        <v>71</v>
      </c>
      <c r="C60">
        <v>9</v>
      </c>
      <c r="D60">
        <v>8</v>
      </c>
      <c r="E60">
        <v>80</v>
      </c>
      <c r="F60">
        <v>1000</v>
      </c>
      <c r="G60">
        <v>78657</v>
      </c>
      <c r="H60">
        <v>0.181587</v>
      </c>
      <c r="I60">
        <v>0.18158102000000001</v>
      </c>
      <c r="J60" s="3">
        <v>26722</v>
      </c>
      <c r="K60" s="3">
        <v>1</v>
      </c>
      <c r="L60" s="3">
        <v>2727788</v>
      </c>
      <c r="M60">
        <f t="shared" si="1"/>
        <v>192</v>
      </c>
      <c r="N60">
        <f t="shared" si="0"/>
        <v>106987.49399999995</v>
      </c>
    </row>
    <row r="61" spans="1:14" x14ac:dyDescent="0.2">
      <c r="A61" t="s">
        <v>11</v>
      </c>
      <c r="B61" s="10" t="s">
        <v>72</v>
      </c>
      <c r="C61">
        <v>9</v>
      </c>
      <c r="D61">
        <v>8</v>
      </c>
      <c r="E61">
        <v>80</v>
      </c>
      <c r="F61">
        <v>10000</v>
      </c>
      <c r="G61">
        <v>791251</v>
      </c>
      <c r="H61">
        <v>1.8331789999999999</v>
      </c>
      <c r="I61">
        <v>1.84392405</v>
      </c>
      <c r="J61" s="1">
        <v>264187</v>
      </c>
      <c r="K61" s="1">
        <v>1</v>
      </c>
      <c r="L61" s="12">
        <v>29569355.620999999</v>
      </c>
      <c r="M61">
        <f t="shared" si="1"/>
        <v>431</v>
      </c>
      <c r="N61">
        <f t="shared" si="0"/>
        <v>-3999470.7239999995</v>
      </c>
    </row>
    <row r="62" spans="1:14" x14ac:dyDescent="0.2">
      <c r="A62" t="s">
        <v>11</v>
      </c>
      <c r="B62" s="10" t="s">
        <v>73</v>
      </c>
      <c r="C62">
        <v>17</v>
      </c>
      <c r="D62">
        <v>16</v>
      </c>
      <c r="E62">
        <v>10</v>
      </c>
      <c r="F62">
        <v>100</v>
      </c>
      <c r="G62">
        <v>997</v>
      </c>
      <c r="H62">
        <v>3.7699999999999999E-3</v>
      </c>
      <c r="I62">
        <v>3.7686799999999999E-3</v>
      </c>
      <c r="J62">
        <v>372</v>
      </c>
      <c r="K62">
        <v>4</v>
      </c>
      <c r="L62" s="11">
        <v>310.30900000000003</v>
      </c>
      <c r="M62">
        <f t="shared" si="1"/>
        <v>10</v>
      </c>
      <c r="N62">
        <f t="shared" si="0"/>
        <v>-23.324999999999989</v>
      </c>
    </row>
    <row r="63" spans="1:14" x14ac:dyDescent="0.2">
      <c r="A63" t="s">
        <v>11</v>
      </c>
      <c r="B63" s="10" t="s">
        <v>74</v>
      </c>
      <c r="C63">
        <v>17</v>
      </c>
      <c r="D63">
        <v>16</v>
      </c>
      <c r="E63">
        <v>10</v>
      </c>
      <c r="F63">
        <v>1000</v>
      </c>
      <c r="G63">
        <v>9997</v>
      </c>
      <c r="H63">
        <v>2.8254000000000001E-2</v>
      </c>
      <c r="I63">
        <v>2.8811929999999999E-2</v>
      </c>
      <c r="J63" s="7">
        <v>3431</v>
      </c>
      <c r="K63" s="7">
        <v>1</v>
      </c>
      <c r="L63" s="7">
        <v>1708.6020000000001</v>
      </c>
      <c r="M63">
        <f t="shared" si="1"/>
        <v>33</v>
      </c>
      <c r="N63">
        <f t="shared" si="0"/>
        <v>-1229.7160000000001</v>
      </c>
    </row>
    <row r="64" spans="1:14" x14ac:dyDescent="0.2">
      <c r="A64" t="s">
        <v>11</v>
      </c>
      <c r="B64" s="10" t="s">
        <v>75</v>
      </c>
      <c r="C64">
        <v>17</v>
      </c>
      <c r="D64">
        <v>16</v>
      </c>
      <c r="E64">
        <v>10</v>
      </c>
      <c r="F64">
        <v>10000</v>
      </c>
      <c r="G64">
        <v>99600</v>
      </c>
      <c r="H64">
        <v>0.314444</v>
      </c>
      <c r="I64">
        <v>0.43281698000000002</v>
      </c>
      <c r="J64" s="16">
        <v>33428</v>
      </c>
      <c r="K64" s="16">
        <v>2</v>
      </c>
      <c r="L64" s="16">
        <v>19982.182000000001</v>
      </c>
      <c r="M64">
        <f t="shared" si="1"/>
        <v>56</v>
      </c>
      <c r="N64">
        <f t="shared" si="0"/>
        <v>-4566.2690000000002</v>
      </c>
    </row>
    <row r="65" spans="1:14" x14ac:dyDescent="0.2">
      <c r="A65" t="s">
        <v>11</v>
      </c>
      <c r="B65" s="10" t="s">
        <v>76</v>
      </c>
      <c r="C65">
        <v>17</v>
      </c>
      <c r="D65">
        <v>16</v>
      </c>
      <c r="E65">
        <v>20</v>
      </c>
      <c r="F65">
        <v>100</v>
      </c>
      <c r="G65">
        <v>1987</v>
      </c>
      <c r="H65">
        <v>6.6730000000000001E-3</v>
      </c>
      <c r="I65">
        <v>6.76298E-3</v>
      </c>
      <c r="J65" s="5">
        <v>758</v>
      </c>
      <c r="K65" s="5">
        <v>1</v>
      </c>
      <c r="L65" s="5">
        <v>3659.442</v>
      </c>
      <c r="M65">
        <f t="shared" si="1"/>
        <v>23</v>
      </c>
      <c r="N65">
        <f t="shared" si="0"/>
        <v>251.28600000000006</v>
      </c>
    </row>
    <row r="66" spans="1:14" x14ac:dyDescent="0.2">
      <c r="A66" t="s">
        <v>11</v>
      </c>
      <c r="B66" s="10" t="s">
        <v>77</v>
      </c>
      <c r="C66">
        <v>17</v>
      </c>
      <c r="D66">
        <v>16</v>
      </c>
      <c r="E66">
        <v>20</v>
      </c>
      <c r="F66">
        <v>1000</v>
      </c>
      <c r="G66">
        <v>19983</v>
      </c>
      <c r="H66">
        <v>6.2673000000000006E-2</v>
      </c>
      <c r="I66">
        <v>6.5284969999999998E-2</v>
      </c>
      <c r="J66" s="6">
        <v>7208</v>
      </c>
      <c r="K66" s="6">
        <v>1</v>
      </c>
      <c r="L66" s="6">
        <v>26088.277999999998</v>
      </c>
      <c r="M66">
        <f t="shared" si="1"/>
        <v>82</v>
      </c>
      <c r="N66">
        <f t="shared" si="0"/>
        <v>856.45599999999831</v>
      </c>
    </row>
    <row r="67" spans="1:14" x14ac:dyDescent="0.2">
      <c r="A67" t="s">
        <v>11</v>
      </c>
      <c r="B67" s="10" t="s">
        <v>78</v>
      </c>
      <c r="C67">
        <v>17</v>
      </c>
      <c r="D67">
        <v>16</v>
      </c>
      <c r="E67">
        <v>20</v>
      </c>
      <c r="F67">
        <v>10000</v>
      </c>
      <c r="G67">
        <v>198677</v>
      </c>
      <c r="H67">
        <v>0.51618600000000003</v>
      </c>
      <c r="I67">
        <v>0.53386496999999999</v>
      </c>
      <c r="J67" s="15">
        <v>69820</v>
      </c>
      <c r="K67" s="15">
        <v>3</v>
      </c>
      <c r="L67" s="15">
        <v>259713.18</v>
      </c>
      <c r="M67">
        <f t="shared" si="1"/>
        <v>210</v>
      </c>
      <c r="N67">
        <f t="shared" si="0"/>
        <v>-26451.987000000023</v>
      </c>
    </row>
    <row r="68" spans="1:14" x14ac:dyDescent="0.2">
      <c r="A68" t="s">
        <v>11</v>
      </c>
      <c r="B68" s="10" t="s">
        <v>79</v>
      </c>
      <c r="C68">
        <v>17</v>
      </c>
      <c r="D68">
        <v>16</v>
      </c>
      <c r="E68">
        <v>40</v>
      </c>
      <c r="F68">
        <v>100</v>
      </c>
      <c r="G68">
        <v>3965</v>
      </c>
      <c r="H68">
        <v>1.2189999999999999E-2</v>
      </c>
      <c r="I68">
        <v>1.244688E-2</v>
      </c>
      <c r="J68" s="2">
        <v>1553</v>
      </c>
      <c r="K68" s="2">
        <v>1</v>
      </c>
      <c r="L68" s="2">
        <v>32335.7</v>
      </c>
      <c r="M68">
        <f t="shared" si="1"/>
        <v>45</v>
      </c>
      <c r="N68">
        <f t="shared" si="0"/>
        <v>687.91900000000169</v>
      </c>
    </row>
    <row r="69" spans="1:14" x14ac:dyDescent="0.2">
      <c r="A69" t="s">
        <v>11</v>
      </c>
      <c r="B69" s="10" t="s">
        <v>80</v>
      </c>
      <c r="C69">
        <v>17</v>
      </c>
      <c r="D69">
        <v>16</v>
      </c>
      <c r="E69">
        <v>40</v>
      </c>
      <c r="F69">
        <v>1000</v>
      </c>
      <c r="G69">
        <v>39907</v>
      </c>
      <c r="H69">
        <v>0.102337</v>
      </c>
      <c r="I69">
        <v>0.10557699</v>
      </c>
      <c r="J69" s="14">
        <v>14617</v>
      </c>
      <c r="K69" s="14">
        <v>1</v>
      </c>
      <c r="L69" s="14">
        <v>288880.21999999997</v>
      </c>
      <c r="M69">
        <f t="shared" si="1"/>
        <v>175</v>
      </c>
      <c r="N69">
        <f t="shared" si="0"/>
        <v>24734.205999999947</v>
      </c>
    </row>
    <row r="70" spans="1:14" x14ac:dyDescent="0.2">
      <c r="A70" t="s">
        <v>11</v>
      </c>
      <c r="B70" s="10" t="s">
        <v>81</v>
      </c>
      <c r="C70">
        <v>17</v>
      </c>
      <c r="D70">
        <v>16</v>
      </c>
      <c r="E70">
        <v>40</v>
      </c>
      <c r="F70">
        <v>10000</v>
      </c>
      <c r="G70">
        <v>396791</v>
      </c>
      <c r="H70">
        <v>1.078608</v>
      </c>
      <c r="I70">
        <v>1.2423632099999999</v>
      </c>
      <c r="J70" s="4">
        <v>140799</v>
      </c>
      <c r="K70" s="4">
        <v>1</v>
      </c>
      <c r="L70" s="4">
        <v>3188698</v>
      </c>
      <c r="M70">
        <f t="shared" si="1"/>
        <v>374</v>
      </c>
      <c r="N70">
        <f t="shared" si="0"/>
        <v>246149.00400000019</v>
      </c>
    </row>
    <row r="71" spans="1:14" x14ac:dyDescent="0.2">
      <c r="A71" t="s">
        <v>11</v>
      </c>
      <c r="B71" s="10" t="s">
        <v>82</v>
      </c>
      <c r="C71">
        <v>17</v>
      </c>
      <c r="D71">
        <v>16</v>
      </c>
      <c r="E71">
        <v>80</v>
      </c>
      <c r="F71">
        <v>100</v>
      </c>
      <c r="G71">
        <v>7916</v>
      </c>
      <c r="H71">
        <v>2.2168E-2</v>
      </c>
      <c r="I71">
        <v>2.246714E-2</v>
      </c>
      <c r="J71" s="13">
        <v>2891</v>
      </c>
      <c r="K71" s="13">
        <v>1</v>
      </c>
      <c r="L71" s="13">
        <v>333699.30800000002</v>
      </c>
      <c r="M71">
        <f t="shared" si="1"/>
        <v>43</v>
      </c>
      <c r="N71">
        <f t="shared" si="0"/>
        <v>41254.341000000015</v>
      </c>
    </row>
    <row r="72" spans="1:14" x14ac:dyDescent="0.2">
      <c r="A72" t="s">
        <v>11</v>
      </c>
      <c r="B72" s="10" t="s">
        <v>83</v>
      </c>
      <c r="C72">
        <v>17</v>
      </c>
      <c r="D72">
        <v>16</v>
      </c>
      <c r="E72">
        <v>80</v>
      </c>
      <c r="F72">
        <v>1000</v>
      </c>
      <c r="G72">
        <v>78657</v>
      </c>
      <c r="H72">
        <v>0.181587</v>
      </c>
      <c r="I72">
        <v>0.18158102000000001</v>
      </c>
      <c r="J72" s="3">
        <v>27045</v>
      </c>
      <c r="K72" s="3">
        <v>1</v>
      </c>
      <c r="L72" s="3">
        <v>2837222</v>
      </c>
      <c r="M72">
        <f t="shared" si="1"/>
        <v>323</v>
      </c>
      <c r="N72">
        <f t="shared" si="0"/>
        <v>109434</v>
      </c>
    </row>
    <row r="73" spans="1:14" x14ac:dyDescent="0.2">
      <c r="A73" t="s">
        <v>11</v>
      </c>
      <c r="B73" s="10" t="s">
        <v>84</v>
      </c>
      <c r="C73">
        <v>17</v>
      </c>
      <c r="D73">
        <v>16</v>
      </c>
      <c r="E73">
        <v>80</v>
      </c>
      <c r="F73">
        <v>10000</v>
      </c>
      <c r="G73">
        <v>791251</v>
      </c>
      <c r="H73">
        <v>1.8331789999999999</v>
      </c>
      <c r="I73">
        <v>1.84392405</v>
      </c>
      <c r="J73" s="17">
        <v>264969</v>
      </c>
      <c r="K73" s="17">
        <v>1</v>
      </c>
      <c r="L73" s="18">
        <v>30766335.241</v>
      </c>
      <c r="M73">
        <f t="shared" si="1"/>
        <v>782</v>
      </c>
      <c r="N73" s="19">
        <f>L73-L61</f>
        <v>1196979.620000001</v>
      </c>
    </row>
    <row r="74" spans="1:14" x14ac:dyDescent="0.2">
      <c r="A74" t="s">
        <v>11</v>
      </c>
      <c r="B74" s="10" t="s">
        <v>85</v>
      </c>
      <c r="C74">
        <v>33</v>
      </c>
      <c r="D74">
        <v>32</v>
      </c>
      <c r="E74">
        <v>10</v>
      </c>
      <c r="F74">
        <v>100</v>
      </c>
      <c r="G74">
        <v>997</v>
      </c>
      <c r="H74">
        <v>7.7489999999999998E-3</v>
      </c>
      <c r="I74">
        <v>8.0430499999999995E-3</v>
      </c>
      <c r="J74">
        <v>385</v>
      </c>
      <c r="K74">
        <v>2</v>
      </c>
      <c r="L74" s="11">
        <v>384.49299999999999</v>
      </c>
      <c r="M74">
        <f t="shared" si="1"/>
        <v>13</v>
      </c>
      <c r="N74">
        <f t="shared" si="0"/>
        <v>74.183999999999969</v>
      </c>
    </row>
    <row r="75" spans="1:14" x14ac:dyDescent="0.2">
      <c r="A75" t="s">
        <v>11</v>
      </c>
      <c r="B75" s="10" t="s">
        <v>86</v>
      </c>
      <c r="C75">
        <v>33</v>
      </c>
      <c r="D75">
        <v>32</v>
      </c>
      <c r="E75">
        <v>10</v>
      </c>
      <c r="F75">
        <v>1000</v>
      </c>
      <c r="G75">
        <v>9997</v>
      </c>
      <c r="H75">
        <v>2.8119000000000002E-2</v>
      </c>
      <c r="I75">
        <v>2.848005E-2</v>
      </c>
      <c r="J75" s="7">
        <v>3477</v>
      </c>
      <c r="K75" s="7">
        <v>2</v>
      </c>
      <c r="L75" s="7">
        <v>2103.4780000000001</v>
      </c>
      <c r="M75">
        <f t="shared" si="1"/>
        <v>46</v>
      </c>
      <c r="N75">
        <f t="shared" si="0"/>
        <v>394.87599999999998</v>
      </c>
    </row>
    <row r="76" spans="1:14" x14ac:dyDescent="0.2">
      <c r="A76" t="s">
        <v>11</v>
      </c>
      <c r="B76" s="10" t="s">
        <v>87</v>
      </c>
      <c r="C76">
        <v>33</v>
      </c>
      <c r="D76">
        <v>32</v>
      </c>
      <c r="E76">
        <v>10</v>
      </c>
      <c r="F76">
        <v>10000</v>
      </c>
      <c r="G76">
        <v>99600</v>
      </c>
      <c r="H76">
        <v>0.26948800000000001</v>
      </c>
      <c r="I76">
        <v>0.27411771000000001</v>
      </c>
      <c r="J76" s="16">
        <v>33591</v>
      </c>
      <c r="K76" s="16">
        <v>2</v>
      </c>
      <c r="L76" s="16">
        <v>23186.725999999999</v>
      </c>
      <c r="M76">
        <f t="shared" si="1"/>
        <v>163</v>
      </c>
      <c r="N76">
        <f t="shared" si="0"/>
        <v>3204.5439999999981</v>
      </c>
    </row>
    <row r="77" spans="1:14" x14ac:dyDescent="0.2">
      <c r="A77" t="s">
        <v>11</v>
      </c>
      <c r="B77" s="10" t="s">
        <v>88</v>
      </c>
      <c r="C77">
        <v>33</v>
      </c>
      <c r="D77">
        <v>32</v>
      </c>
      <c r="E77">
        <v>20</v>
      </c>
      <c r="F77">
        <v>100</v>
      </c>
      <c r="G77">
        <v>1987</v>
      </c>
      <c r="H77">
        <v>1.1298000000000001E-2</v>
      </c>
      <c r="I77">
        <v>1.187611E-2</v>
      </c>
      <c r="J77" s="5">
        <v>796</v>
      </c>
      <c r="K77" s="5">
        <v>1</v>
      </c>
      <c r="L77" s="5">
        <v>3181.9749999999999</v>
      </c>
      <c r="M77">
        <f t="shared" si="1"/>
        <v>38</v>
      </c>
      <c r="N77">
        <f t="shared" si="0"/>
        <v>-477.4670000000001</v>
      </c>
    </row>
    <row r="78" spans="1:14" x14ac:dyDescent="0.2">
      <c r="A78" t="s">
        <v>11</v>
      </c>
      <c r="B78" s="10" t="s">
        <v>89</v>
      </c>
      <c r="C78">
        <v>33</v>
      </c>
      <c r="D78">
        <v>32</v>
      </c>
      <c r="E78">
        <v>20</v>
      </c>
      <c r="F78">
        <v>1000</v>
      </c>
      <c r="G78">
        <v>19983</v>
      </c>
      <c r="H78">
        <v>5.2075999999999997E-2</v>
      </c>
      <c r="I78">
        <v>5.314493E-2</v>
      </c>
      <c r="J78" s="6">
        <v>7325</v>
      </c>
      <c r="K78" s="6">
        <v>2</v>
      </c>
      <c r="L78" s="6">
        <v>35296.196000000004</v>
      </c>
      <c r="M78">
        <f t="shared" si="1"/>
        <v>117</v>
      </c>
      <c r="N78">
        <f t="shared" si="0"/>
        <v>9207.9180000000051</v>
      </c>
    </row>
    <row r="79" spans="1:14" x14ac:dyDescent="0.2">
      <c r="A79" t="s">
        <v>11</v>
      </c>
      <c r="B79" s="10" t="s">
        <v>90</v>
      </c>
      <c r="C79">
        <v>33</v>
      </c>
      <c r="D79">
        <v>32</v>
      </c>
      <c r="E79">
        <v>20</v>
      </c>
      <c r="F79">
        <v>10000</v>
      </c>
      <c r="G79">
        <v>198677</v>
      </c>
      <c r="H79">
        <v>0.55912499999999998</v>
      </c>
      <c r="I79">
        <v>0.57954620999999995</v>
      </c>
      <c r="J79" s="15">
        <v>70108</v>
      </c>
      <c r="K79" s="15">
        <v>1</v>
      </c>
      <c r="L79" s="15">
        <v>287076.68</v>
      </c>
      <c r="M79">
        <f t="shared" si="1"/>
        <v>288</v>
      </c>
      <c r="N79">
        <f t="shared" ref="N79:N97" si="2">L79-L67</f>
        <v>27363.5</v>
      </c>
    </row>
    <row r="80" spans="1:14" x14ac:dyDescent="0.2">
      <c r="A80" t="s">
        <v>11</v>
      </c>
      <c r="B80" s="10" t="s">
        <v>91</v>
      </c>
      <c r="C80">
        <v>33</v>
      </c>
      <c r="D80">
        <v>32</v>
      </c>
      <c r="E80">
        <v>40</v>
      </c>
      <c r="F80">
        <v>100</v>
      </c>
      <c r="G80">
        <v>3965</v>
      </c>
      <c r="H80">
        <v>1.3523E-2</v>
      </c>
      <c r="I80">
        <v>1.3730050000000001E-2</v>
      </c>
      <c r="J80" s="2">
        <v>1601</v>
      </c>
      <c r="K80" s="2">
        <v>1</v>
      </c>
      <c r="L80" s="2">
        <v>28998.812999999998</v>
      </c>
      <c r="M80">
        <f t="shared" ref="M80:M97" si="3">J80-J68</f>
        <v>48</v>
      </c>
      <c r="N80">
        <f t="shared" si="2"/>
        <v>-3336.8870000000024</v>
      </c>
    </row>
    <row r="81" spans="1:14" x14ac:dyDescent="0.2">
      <c r="A81" t="s">
        <v>11</v>
      </c>
      <c r="B81" s="10" t="s">
        <v>92</v>
      </c>
      <c r="C81">
        <v>33</v>
      </c>
      <c r="D81">
        <v>32</v>
      </c>
      <c r="E81">
        <v>40</v>
      </c>
      <c r="F81">
        <v>1000</v>
      </c>
      <c r="G81">
        <v>39907</v>
      </c>
      <c r="H81">
        <v>0.117955</v>
      </c>
      <c r="I81">
        <v>0.11965322</v>
      </c>
      <c r="J81" s="14">
        <v>14913</v>
      </c>
      <c r="K81" s="14">
        <v>1</v>
      </c>
      <c r="L81" s="14">
        <v>290159.40899999999</v>
      </c>
      <c r="M81">
        <f t="shared" si="3"/>
        <v>296</v>
      </c>
      <c r="N81">
        <f t="shared" si="2"/>
        <v>1279.189000000013</v>
      </c>
    </row>
    <row r="82" spans="1:14" x14ac:dyDescent="0.2">
      <c r="A82" t="s">
        <v>11</v>
      </c>
      <c r="B82" s="10" t="s">
        <v>93</v>
      </c>
      <c r="C82">
        <v>33</v>
      </c>
      <c r="D82">
        <v>32</v>
      </c>
      <c r="E82">
        <v>40</v>
      </c>
      <c r="F82">
        <v>10000</v>
      </c>
      <c r="G82">
        <v>396791</v>
      </c>
      <c r="H82">
        <v>1.119078</v>
      </c>
      <c r="I82">
        <v>1.15218687</v>
      </c>
      <c r="J82" s="4">
        <v>141518</v>
      </c>
      <c r="K82" s="4">
        <v>1</v>
      </c>
      <c r="L82" s="4">
        <v>2738257.2930000001</v>
      </c>
      <c r="M82">
        <f t="shared" si="3"/>
        <v>719</v>
      </c>
      <c r="N82">
        <f t="shared" si="2"/>
        <v>-450440.70699999994</v>
      </c>
    </row>
    <row r="83" spans="1:14" x14ac:dyDescent="0.2">
      <c r="A83" t="s">
        <v>11</v>
      </c>
      <c r="B83" s="10" t="s">
        <v>94</v>
      </c>
      <c r="C83">
        <v>33</v>
      </c>
      <c r="D83">
        <v>32</v>
      </c>
      <c r="E83">
        <v>80</v>
      </c>
      <c r="F83">
        <v>100</v>
      </c>
      <c r="G83">
        <v>7916</v>
      </c>
      <c r="H83">
        <v>2.2168E-2</v>
      </c>
      <c r="I83">
        <v>2.246714E-2</v>
      </c>
      <c r="J83" s="13">
        <v>2983</v>
      </c>
      <c r="K83" s="13">
        <v>2</v>
      </c>
      <c r="L83" s="13">
        <v>294717.788</v>
      </c>
      <c r="M83">
        <f t="shared" si="3"/>
        <v>92</v>
      </c>
      <c r="N83">
        <f t="shared" si="2"/>
        <v>-38981.520000000019</v>
      </c>
    </row>
    <row r="84" spans="1:14" x14ac:dyDescent="0.2">
      <c r="A84" t="s">
        <v>11</v>
      </c>
      <c r="B84" s="10" t="s">
        <v>95</v>
      </c>
      <c r="C84">
        <v>33</v>
      </c>
      <c r="D84">
        <v>32</v>
      </c>
      <c r="E84">
        <v>80</v>
      </c>
      <c r="F84">
        <v>1000</v>
      </c>
      <c r="G84">
        <v>78657</v>
      </c>
      <c r="H84">
        <v>0.181587</v>
      </c>
      <c r="I84">
        <v>0.18158102000000001</v>
      </c>
      <c r="J84" s="3">
        <v>27480</v>
      </c>
      <c r="K84" s="3">
        <v>1</v>
      </c>
      <c r="L84" s="3">
        <v>2889574.4840000002</v>
      </c>
      <c r="M84">
        <f t="shared" si="3"/>
        <v>435</v>
      </c>
      <c r="N84">
        <f t="shared" si="2"/>
        <v>52352.484000000171</v>
      </c>
    </row>
    <row r="85" spans="1:14" x14ac:dyDescent="0.2">
      <c r="A85" t="s">
        <v>11</v>
      </c>
      <c r="B85" s="10" t="s">
        <v>96</v>
      </c>
      <c r="C85">
        <v>33</v>
      </c>
      <c r="D85">
        <v>32</v>
      </c>
      <c r="E85">
        <v>80</v>
      </c>
      <c r="F85">
        <v>10000</v>
      </c>
      <c r="G85">
        <v>791251</v>
      </c>
      <c r="H85">
        <v>1.8331789999999999</v>
      </c>
      <c r="I85">
        <v>1.84392405</v>
      </c>
      <c r="J85" s="1"/>
      <c r="K85" s="1"/>
      <c r="L85" s="1"/>
      <c r="M85">
        <f t="shared" si="3"/>
        <v>-264969</v>
      </c>
      <c r="N85">
        <f t="shared" si="2"/>
        <v>-30766335.241</v>
      </c>
    </row>
    <row r="86" spans="1:14" x14ac:dyDescent="0.2">
      <c r="A86" t="s">
        <v>11</v>
      </c>
      <c r="B86" s="10" t="s">
        <v>97</v>
      </c>
      <c r="C86">
        <v>65</v>
      </c>
      <c r="D86">
        <v>64</v>
      </c>
      <c r="E86">
        <v>10</v>
      </c>
      <c r="F86">
        <v>100</v>
      </c>
      <c r="G86">
        <v>997</v>
      </c>
      <c r="H86">
        <v>5.0559999999999997E-3</v>
      </c>
      <c r="I86">
        <v>5.1369700000000003E-3</v>
      </c>
      <c r="J86">
        <v>373</v>
      </c>
      <c r="K86">
        <v>2</v>
      </c>
      <c r="L86" s="11">
        <v>517.08299999999997</v>
      </c>
      <c r="M86">
        <f t="shared" si="3"/>
        <v>-12</v>
      </c>
      <c r="N86">
        <f t="shared" si="2"/>
        <v>132.58999999999997</v>
      </c>
    </row>
    <row r="87" spans="1:14" x14ac:dyDescent="0.2">
      <c r="A87" t="s">
        <v>11</v>
      </c>
      <c r="B87" s="10" t="s">
        <v>98</v>
      </c>
      <c r="C87">
        <v>65</v>
      </c>
      <c r="D87">
        <v>64</v>
      </c>
      <c r="E87">
        <v>10</v>
      </c>
      <c r="F87">
        <v>1000</v>
      </c>
      <c r="G87">
        <v>9997</v>
      </c>
      <c r="H87">
        <v>4.1127999999999998E-2</v>
      </c>
      <c r="I87">
        <v>4.4764039999999998E-2</v>
      </c>
      <c r="J87" s="7">
        <v>3540</v>
      </c>
      <c r="K87" s="7">
        <v>2</v>
      </c>
      <c r="L87" s="7">
        <v>2542.473</v>
      </c>
      <c r="M87">
        <f t="shared" si="3"/>
        <v>63</v>
      </c>
      <c r="N87">
        <f t="shared" si="2"/>
        <v>438.99499999999989</v>
      </c>
    </row>
    <row r="88" spans="1:14" x14ac:dyDescent="0.2">
      <c r="A88" t="s">
        <v>11</v>
      </c>
      <c r="B88" s="10" t="s">
        <v>99</v>
      </c>
      <c r="C88">
        <v>65</v>
      </c>
      <c r="D88">
        <v>64</v>
      </c>
      <c r="E88">
        <v>10</v>
      </c>
      <c r="F88">
        <v>10000</v>
      </c>
      <c r="G88">
        <v>99600</v>
      </c>
      <c r="H88">
        <v>0.27675699999999998</v>
      </c>
      <c r="I88">
        <v>0.27989721000000001</v>
      </c>
      <c r="J88" s="16">
        <v>33796</v>
      </c>
      <c r="K88" s="16">
        <v>3</v>
      </c>
      <c r="L88" s="16">
        <v>19719.737000000001</v>
      </c>
      <c r="M88">
        <f t="shared" si="3"/>
        <v>205</v>
      </c>
      <c r="N88">
        <f t="shared" si="2"/>
        <v>-3466.9889999999978</v>
      </c>
    </row>
    <row r="89" spans="1:14" x14ac:dyDescent="0.2">
      <c r="A89" t="s">
        <v>11</v>
      </c>
      <c r="B89" s="10" t="s">
        <v>100</v>
      </c>
      <c r="C89">
        <v>65</v>
      </c>
      <c r="D89">
        <v>64</v>
      </c>
      <c r="E89">
        <v>20</v>
      </c>
      <c r="F89">
        <v>100</v>
      </c>
      <c r="G89">
        <v>1987</v>
      </c>
      <c r="H89">
        <v>8.4639999999999993E-3</v>
      </c>
      <c r="I89">
        <v>8.5058200000000007E-3</v>
      </c>
      <c r="J89" s="5">
        <v>764</v>
      </c>
      <c r="K89" s="5">
        <v>1</v>
      </c>
      <c r="L89" s="5">
        <v>5082.5259999999998</v>
      </c>
      <c r="M89">
        <f t="shared" si="3"/>
        <v>-32</v>
      </c>
      <c r="N89">
        <f t="shared" si="2"/>
        <v>1900.5509999999999</v>
      </c>
    </row>
    <row r="90" spans="1:14" x14ac:dyDescent="0.2">
      <c r="A90" t="s">
        <v>11</v>
      </c>
      <c r="B90" s="10" t="s">
        <v>101</v>
      </c>
      <c r="C90">
        <v>65</v>
      </c>
      <c r="D90">
        <v>64</v>
      </c>
      <c r="E90">
        <v>20</v>
      </c>
      <c r="F90">
        <v>1000</v>
      </c>
      <c r="G90">
        <v>19983</v>
      </c>
      <c r="H90">
        <v>5.3447000000000001E-2</v>
      </c>
      <c r="I90">
        <v>5.4145100000000002E-2</v>
      </c>
      <c r="J90" s="6">
        <v>7509</v>
      </c>
      <c r="K90" s="6">
        <v>2</v>
      </c>
      <c r="L90" s="6">
        <v>30792.182000000001</v>
      </c>
      <c r="M90">
        <f t="shared" si="3"/>
        <v>184</v>
      </c>
      <c r="N90">
        <f t="shared" si="2"/>
        <v>-4504.0140000000029</v>
      </c>
    </row>
    <row r="91" spans="1:14" x14ac:dyDescent="0.2">
      <c r="A91" t="s">
        <v>11</v>
      </c>
      <c r="B91" s="10" t="s">
        <v>102</v>
      </c>
      <c r="C91">
        <v>65</v>
      </c>
      <c r="D91">
        <v>64</v>
      </c>
      <c r="E91">
        <v>20</v>
      </c>
      <c r="F91">
        <v>10000</v>
      </c>
      <c r="G91">
        <v>198677</v>
      </c>
      <c r="H91">
        <v>0.51144900000000004</v>
      </c>
      <c r="I91">
        <v>0.51581191999999998</v>
      </c>
      <c r="J91" s="15">
        <v>70594</v>
      </c>
      <c r="K91" s="15">
        <v>3</v>
      </c>
      <c r="L91" s="15">
        <v>255717.755</v>
      </c>
      <c r="M91">
        <f t="shared" si="3"/>
        <v>486</v>
      </c>
      <c r="N91">
        <f t="shared" si="2"/>
        <v>-31358.924999999988</v>
      </c>
    </row>
    <row r="92" spans="1:14" x14ac:dyDescent="0.2">
      <c r="A92" t="s">
        <v>11</v>
      </c>
      <c r="B92" s="10" t="s">
        <v>103</v>
      </c>
      <c r="C92">
        <v>65</v>
      </c>
      <c r="D92">
        <v>64</v>
      </c>
      <c r="E92">
        <v>40</v>
      </c>
      <c r="F92">
        <v>100</v>
      </c>
      <c r="G92">
        <v>3965</v>
      </c>
      <c r="H92">
        <v>1.5474E-2</v>
      </c>
      <c r="I92">
        <v>1.555395E-2</v>
      </c>
      <c r="J92" s="2">
        <v>1560</v>
      </c>
      <c r="K92" s="2">
        <v>1</v>
      </c>
      <c r="L92" s="2">
        <v>46015.118999999999</v>
      </c>
      <c r="M92">
        <f t="shared" si="3"/>
        <v>-41</v>
      </c>
      <c r="N92">
        <f t="shared" si="2"/>
        <v>17016.306</v>
      </c>
    </row>
    <row r="93" spans="1:14" x14ac:dyDescent="0.2">
      <c r="A93" t="s">
        <v>11</v>
      </c>
      <c r="B93" s="10" t="s">
        <v>104</v>
      </c>
      <c r="C93">
        <v>65</v>
      </c>
      <c r="D93">
        <v>64</v>
      </c>
      <c r="E93">
        <v>40</v>
      </c>
      <c r="F93">
        <v>1000</v>
      </c>
      <c r="G93">
        <v>39907</v>
      </c>
      <c r="H93">
        <v>9.7195000000000004E-2</v>
      </c>
      <c r="I93">
        <v>9.7665070000000007E-2</v>
      </c>
      <c r="J93" s="14">
        <v>15267</v>
      </c>
      <c r="K93" s="14">
        <v>1</v>
      </c>
      <c r="L93" s="14">
        <v>336063.28399999999</v>
      </c>
      <c r="M93">
        <f t="shared" si="3"/>
        <v>354</v>
      </c>
      <c r="N93">
        <f t="shared" si="2"/>
        <v>45903.875</v>
      </c>
    </row>
    <row r="94" spans="1:14" x14ac:dyDescent="0.2">
      <c r="A94" t="s">
        <v>11</v>
      </c>
      <c r="B94" s="10" t="s">
        <v>104</v>
      </c>
      <c r="C94">
        <v>65</v>
      </c>
      <c r="D94">
        <v>64</v>
      </c>
      <c r="E94">
        <v>40</v>
      </c>
      <c r="F94">
        <v>10000</v>
      </c>
      <c r="G94">
        <v>396791</v>
      </c>
      <c r="H94">
        <v>1.0299430000000001</v>
      </c>
      <c r="I94">
        <v>1.04059291</v>
      </c>
      <c r="J94" s="4">
        <v>142552</v>
      </c>
      <c r="K94" s="4">
        <v>1</v>
      </c>
      <c r="L94" s="4">
        <v>2919399.1320000002</v>
      </c>
      <c r="M94">
        <f t="shared" si="3"/>
        <v>1034</v>
      </c>
      <c r="N94">
        <f t="shared" si="2"/>
        <v>181141.83900000015</v>
      </c>
    </row>
    <row r="95" spans="1:14" x14ac:dyDescent="0.2">
      <c r="A95" t="s">
        <v>11</v>
      </c>
      <c r="B95" s="10" t="s">
        <v>105</v>
      </c>
      <c r="C95">
        <v>65</v>
      </c>
      <c r="D95">
        <v>64</v>
      </c>
      <c r="E95">
        <v>80</v>
      </c>
      <c r="F95">
        <v>100</v>
      </c>
      <c r="G95">
        <v>7916</v>
      </c>
      <c r="H95">
        <v>2.2168E-2</v>
      </c>
      <c r="I95">
        <v>2.246714E-2</v>
      </c>
      <c r="J95" s="13"/>
      <c r="K95" s="13"/>
      <c r="L95" s="13"/>
      <c r="M95">
        <f t="shared" si="3"/>
        <v>-2983</v>
      </c>
      <c r="N95">
        <f t="shared" si="2"/>
        <v>-294717.788</v>
      </c>
    </row>
    <row r="96" spans="1:14" x14ac:dyDescent="0.2">
      <c r="A96" t="s">
        <v>11</v>
      </c>
      <c r="B96" s="10" t="s">
        <v>106</v>
      </c>
      <c r="C96">
        <v>65</v>
      </c>
      <c r="D96">
        <v>64</v>
      </c>
      <c r="E96">
        <v>80</v>
      </c>
      <c r="F96">
        <v>1000</v>
      </c>
      <c r="G96">
        <v>78657</v>
      </c>
      <c r="H96">
        <v>0.181587</v>
      </c>
      <c r="I96">
        <v>0.18158102000000001</v>
      </c>
      <c r="J96" s="3"/>
      <c r="K96" s="3"/>
      <c r="L96" s="3"/>
      <c r="M96">
        <f t="shared" si="3"/>
        <v>-27480</v>
      </c>
      <c r="N96">
        <f t="shared" si="2"/>
        <v>-2889574.4840000002</v>
      </c>
    </row>
    <row r="97" spans="1:14" x14ac:dyDescent="0.2">
      <c r="A97" t="s">
        <v>11</v>
      </c>
      <c r="B97" s="10" t="s">
        <v>107</v>
      </c>
      <c r="C97">
        <v>65</v>
      </c>
      <c r="D97">
        <v>64</v>
      </c>
      <c r="E97">
        <v>80</v>
      </c>
      <c r="F97">
        <v>10000</v>
      </c>
      <c r="G97">
        <v>791251</v>
      </c>
      <c r="H97">
        <v>1.8331789999999999</v>
      </c>
      <c r="I97">
        <v>1.84392405</v>
      </c>
      <c r="J97" s="1"/>
      <c r="K97" s="1"/>
      <c r="L97" s="1"/>
      <c r="M97">
        <f t="shared" si="3"/>
        <v>0</v>
      </c>
      <c r="N97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without80t</vt:lpstr>
      <vt:lpstr>with80t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Nakamura</cp:lastModifiedBy>
  <dcterms:created xsi:type="dcterms:W3CDTF">2025-11-10T02:10:57Z</dcterms:created>
  <dcterms:modified xsi:type="dcterms:W3CDTF">2026-04-24T18:02:32Z</dcterms:modified>
</cp:coreProperties>
</file>